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bc43418eb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bc45c71237d4636"/>
    <x:sheet xmlns:r="http://schemas.openxmlformats.org/officeDocument/2006/relationships" name="前台利润标准表" sheetId="2" r:id="R2fd3c73fa63e434f"/>
    <x:sheet xmlns:r="http://schemas.openxmlformats.org/officeDocument/2006/relationships" name="经营明细接口" sheetId="3" r:id="R33987d49bfef4654"/>
    <x:sheet xmlns:r="http://schemas.openxmlformats.org/officeDocument/2006/relationships" name="费用事实接口" sheetId="4" r:id="Rf50289acdfe34810"/>
    <x:sheet xmlns:r="http://schemas.openxmlformats.org/officeDocument/2006/relationships" name="SKU运营映射" sheetId="5" r:id="Rd8c12de26990485b"/>
    <x:sheet xmlns:r="http://schemas.openxmlformats.org/officeDocument/2006/relationships" name="店铺账户映射" sheetId="6" r:id="Red1865e930c14821"/>
    <x:sheet xmlns:r="http://schemas.openxmlformats.org/officeDocument/2006/relationships" name="字段字典" sheetId="7" r:id="Rf2a93c9f6c5c4024"/>
    <x:sheet xmlns:r="http://schemas.openxmlformats.org/officeDocument/2006/relationships" name="规则与验收" sheetId="8" r:id="Ra2565ae870614087"/>
    <x:sheet xmlns:r="http://schemas.openxmlformats.org/officeDocument/2006/relationships" name="Checks" sheetId="9" r:id="Rd05a7467c031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####;[Red](#,##0.####);-"/>
    <x:numFmt numFmtId="203" formatCode="#,##0.00;[Red](#,##0.00);-"/>
    <x:numFmt numFmtId="204" formatCode="0.00%;[Red](0.00%);-"/>
  </x:numFmts>
  <x:fonts count="13">
    <x:font>
      <x:sz val="11"/>
      <x:name val="Carlito"/>
    </x:font>
    <x:font>
      <x:b/>
      <x:sz val="18"/>
      <x:color rgb="FFFFFFFF"/>
      <x:name val="Microsoft YaHei"/>
    </x:font>
    <x:font>
      <x:sz val="10"/>
      <x:color rgb="FF243447"/>
      <x:name val="Microsoft YaHei"/>
    </x:font>
    <x:font>
      <x:b/>
      <x:sz val="11"/>
      <x:color rgb="FFFFFFFF"/>
      <x:name val="Microsoft YaHei"/>
    </x:font>
    <x:font>
      <x:b/>
      <x:sz val="11"/>
      <x:color rgb="FFFFFFFF"/>
      <x:name val="Carlito"/>
    </x:font>
    <x:font>
      <x:b/>
      <x:sz val="11"/>
      <x:color rgb="FF243447"/>
      <x:name val="Carlito"/>
    </x:font>
    <x:font>
      <x:sz val="11"/>
      <x:color rgb="FF243447"/>
      <x:name val="Carlito"/>
    </x:font>
    <x:font>
      <x:sz val="10"/>
      <x:color rgb="FF243447"/>
      <x:name val="Carlito"/>
    </x:font>
    <x:font>
      <x:b/>
      <x:sz val="14"/>
      <x:color rgb="FF2563EB"/>
      <x:name val="Carlito"/>
    </x:font>
    <x:font>
      <x:b/>
      <x:sz val="11"/>
      <x:color rgb="FF2563EB"/>
      <x:name val="Carlito"/>
    </x:font>
    <x:font>
      <x:b/>
      <x:sz val="11"/>
      <x:color rgb="FF92400E"/>
      <x:name val="Carlito"/>
    </x:font>
    <x:font>
      <x:b/>
      <x:sz val="10"/>
      <x:color rgb="FFFFFFFF"/>
      <x:name val="Microsoft YaHei"/>
    </x:font>
    <x:font>
      <x:sz val="11"/>
      <x:color rgb="FF5F6B76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2563EB"/>
      </x:patternFill>
    </x:fill>
    <x:fill>
      <x:patternFill patternType="solid">
        <x:fgColor rgb="FFE8F1FF"/>
      </x:patternFill>
    </x:fill>
    <x:fill>
      <x:patternFill patternType="solid">
        <x:fgColor rgb="FFFEF3C7"/>
      </x:patternFill>
    </x:fill>
    <x:fill>
      <x:patternFill patternType="solid">
        <x:fgColor rgb="FFFFF7D6"/>
      </x:patternFill>
    </x:fill>
    <x:fill>
      <x:patternFill patternType="solid">
        <x:fgColor rgb="FFF3F4F6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1" fillId="2" borderId="2" xfId="0" applyNumberFormat="1" applyFont="1" applyFill="1" applyBorder="1"/>
    <x:xf numFmtId="0" fontId="11" fillId="2" borderId="3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2" borderId="2" xfId="0" applyNumberFormat="1" applyFont="1" applyFill="1" applyBorder="1" applyAlignment="1">
      <x:alignment wrapText="1"/>
    </x:xf>
    <x:xf numFmtId="0" fontId="11" fillId="2" borderId="3" xfId="0" applyNumberFormat="1" applyFont="1" applyFill="1" applyBorder="1" applyAlignment="1">
      <x:alignment wrapText="1"/>
    </x:xf>
    <x:xf numFmtId="0" fontId="11" fillId="2" borderId="1" xfId="0" applyNumberFormat="1" applyFont="1" applyFill="1" applyBorder="1" applyAlignment="1">
      <x:alignment horizontal="center" wrapText="1"/>
    </x:xf>
    <x:xf numFmtId="0" fontId="11" fillId="2" borderId="2" xfId="0" applyNumberFormat="1" applyFont="1" applyFill="1" applyBorder="1" applyAlignment="1">
      <x:alignment horizontal="center" wrapText="1"/>
    </x:xf>
    <x:xf numFmtId="0" fontId="11" fillId="2" borderId="3" xfId="0" applyNumberFormat="1" applyFont="1" applyFill="1" applyBorder="1" applyAlignment="1">
      <x:alignment horizont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0" fontId="0" fillId="9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9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2" fontId="0" fillId="9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203" fontId="0" fillId="9" borderId="0" xfId="0" applyNumberFormat="1" applyFont="1" applyFill="1" applyBorder="1" applyAlignment="1">
      <x:alignment vertical="center"/>
    </x:xf>
    <x:xf numFmtId="203" fontId="0" fillId="7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vertical="center"/>
    </x:xf>
    <x:xf numFmtId="204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466b1d61f4920" /><Relationship Type="http://schemas.openxmlformats.org/officeDocument/2006/relationships/theme" Target="/xl/theme/theme1.xml" Id="Rd75e66d179dc429c" /><Relationship Type="http://schemas.openxmlformats.org/officeDocument/2006/relationships/sharedStrings" Target="/xl/sharedStrings.xml" Id="Rc7668dad651a4463" /><Relationship Type="http://schemas.openxmlformats.org/officeDocument/2006/relationships/worksheet" Target="/xl/worksheets/sheet1.xml" Id="R6bc45c71237d4636" /><Relationship Type="http://schemas.openxmlformats.org/officeDocument/2006/relationships/worksheet" Target="/xl/worksheets/sheet2.xml" Id="R2fd3c73fa63e434f" /><Relationship Type="http://schemas.openxmlformats.org/officeDocument/2006/relationships/worksheet" Target="/xl/worksheets/sheet3.xml" Id="R33987d49bfef4654" /><Relationship Type="http://schemas.openxmlformats.org/officeDocument/2006/relationships/worksheet" Target="/xl/worksheets/sheet4.xml" Id="Rf50289acdfe34810" /><Relationship Type="http://schemas.openxmlformats.org/officeDocument/2006/relationships/worksheet" Target="/xl/worksheets/sheet5.xml" Id="Rd8c12de26990485b" /><Relationship Type="http://schemas.openxmlformats.org/officeDocument/2006/relationships/worksheet" Target="/xl/worksheets/sheet6.xml" Id="Red1865e930c14821" /><Relationship Type="http://schemas.openxmlformats.org/officeDocument/2006/relationships/worksheet" Target="/xl/worksheets/sheet7.xml" Id="Rf2a93c9f6c5c4024" /><Relationship Type="http://schemas.openxmlformats.org/officeDocument/2006/relationships/worksheet" Target="/xl/worksheets/sheet8.xml" Id="Ra2565ae870614087" /><Relationship Type="http://schemas.openxmlformats.org/officeDocument/2006/relationships/worksheet" Target="/xl/worksheets/sheet9.xml" Id="Rd05a7467c0314f67" /></Relationships>
</file>

<file path=xl/tables/table1.xml><?xml version="1.0" encoding="utf-8"?>
<x:table xmlns:x="http://schemas.openxmlformats.org/spreadsheetml/2006/main" id="1" name="ProfitStandardTable" displayName="ProfitStandardTable" ref="A4:AB5" headerRowCount="1" totalsRowCount="0" totalsRowShown="0">
  <x:autoFilter ref="A4:AB5"/>
  <x:tableColumns count="28">
    <x:tableColumn id="1" name="record_id"/>
    <x:tableColumn id="2" name="日期"/>
    <x:tableColumn id="3" name="平台"/>
    <x:tableColumn id="4" name="业务模式"/>
    <x:tableColumn id="5" name="组"/>
    <x:tableColumn id="6" name="店铺"/>
    <x:tableColumn id="7" name="店铺2"/>
    <x:tableColumn id="8" name="运营"/>
    <x:tableColumn id="9" name="单量"/>
    <x:tableColumn id="10" name="GMV"/>
    <x:tableColumn id="11" name="补单金额"/>
    <x:tableColumn id="12" name="补单产品成本"/>
    <x:tableColumn id="13" name="补单单量"/>
    <x:tableColumn id="14" name="产品成本"/>
    <x:tableColumn id="15" name="出货货值"/>
    <x:tableColumn id="16" name="平台扣点/毛保"/>
    <x:tableColumn id="17" name="税点"/>
    <x:tableColumn id="18" name="财务成本"/>
    <x:tableColumn id="19" name="运费"/>
    <x:tableColumn id="20" name="佣金"/>
    <x:tableColumn id="21" name="推广费"/>
    <x:tableColumn id="22" name="真实营业额"/>
    <x:tableColumn id="23" name="前台利润"/>
    <x:tableColumn id="24" name="付费占比"/>
    <x:tableColumn id="25" name="数据状态"/>
    <x:tableColumn id="26" name="来源文件"/>
    <x:tableColumn id="27" name="来源批次"/>
    <x:tableColumn id="2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ngFactsTable" displayName="OperatingFactsTable" ref="A4:W5" headerRowCount="1" totalsRowCount="0" totalsRowShown="0">
  <x:autoFilter ref="A4:W5"/>
  <x:tableColumns count="23">
    <x:tableColumn id="1" name="source_record_id"/>
    <x:tableColumn id="2" name="日期"/>
    <x:tableColumn id="3" name="平台"/>
    <x:tableColumn id="4" name="业务模式"/>
    <x:tableColumn id="5" name="店铺"/>
    <x:tableColumn id="6" name="运营_源"/>
    <x:tableColumn id="7" name="组_源"/>
    <x:tableColumn id="8" name="SKU_商品ID"/>
    <x:tableColumn id="9" name="出库数量"/>
    <x:tableColumn id="10" name="单量"/>
    <x:tableColumn id="11" name="GMV"/>
    <x:tableColumn id="12" name="出货货值"/>
    <x:tableColumn id="13" name="产品成本"/>
    <x:tableColumn id="14" name="运费"/>
    <x:tableColumn id="15" name="平台扣点/毛保"/>
    <x:tableColumn id="16" name="税点"/>
    <x:tableColumn id="17" name="财务成本"/>
    <x:tableColumn id="18" name="佣金"/>
    <x:tableColumn id="19" name="来源文件"/>
    <x:tableColumn id="20" name="来源工作表"/>
    <x:tableColumn id="21" name="来源行号"/>
    <x:tableColumn id="22" name="is_additive"/>
    <x:tableColumn id="2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eFactsTable" displayName="FeeFactsTable" ref="A4:Q5" headerRowCount="1" totalsRowCount="0" totalsRowShown="0">
  <x:autoFilter ref="A4:Q5"/>
  <x:tableColumns count="17">
    <x:tableColumn id="1" name="fee_id"/>
    <x:tableColumn id="2" name="日期"/>
    <x:tableColumn id="3" name="平台"/>
    <x:tableColumn id="4" name="业务模式"/>
    <x:tableColumn id="5" name="费用类型"/>
    <x:tableColumn id="6" name="账户"/>
    <x:tableColumn id="7" name="店铺"/>
    <x:tableColumn id="8" name="运营"/>
    <x:tableColumn id="9" name="组"/>
    <x:tableColumn id="10" name="SKU_商品ID"/>
    <x:tableColumn id="11" name="金额"/>
    <x:tableColumn id="12" name="数量"/>
    <x:tableColumn id="13" name="is_additive"/>
    <x:tableColumn id="14" name="来源文件"/>
    <x:tableColumn id="15" name="来源工作表"/>
    <x:tableColumn id="16" name="来源行号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kuOperatorMapTable" displayName="SkuOperatorMapTable" ref="A4:N5" headerRowCount="1" totalsRowCount="0" totalsRowShown="0">
  <x:autoFilter ref="A4:N5"/>
  <x:tableColumns count="14">
    <x:tableColumn id="1" name="mapping_id"/>
    <x:tableColumn id="2" name="平台"/>
    <x:tableColumn id="3" name="业务模式"/>
    <x:tableColumn id="4" name="店铺"/>
    <x:tableColumn id="5" name="SKU_商品ID"/>
    <x:tableColumn id="6" name="运营"/>
    <x:tableColumn id="7" name="组"/>
    <x:tableColumn id="8" name="单位成本_可选"/>
    <x:tableColumn id="9" name="生效开始_可选"/>
    <x:tableColumn id="10" name="生效结束_可选"/>
    <x:tableColumn id="11" name="优先级"/>
    <x:tableColumn id="12" name="状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opAccountMapTable" displayName="ShopAccountMapTable" ref="A4:N5" headerRowCount="1" totalsRowCount="0" totalsRowShown="0">
  <x:autoFilter ref="A4:N5"/>
  <x:tableColumns count="14">
    <x:tableColumn id="1" name="mapping_id"/>
    <x:tableColumn id="2" name="平台"/>
    <x:tableColumn id="3" name="账户_可选"/>
    <x:tableColumn id="4" name="源店铺"/>
    <x:tableColumn id="5" name="标准店铺"/>
    <x:tableColumn id="6" name="运营_可选"/>
    <x:tableColumn id="7" name="组_可选"/>
    <x:tableColumn id="8" name="店铺2_可选"/>
    <x:tableColumn id="9" name="生效开始_可选"/>
    <x:tableColumn id="10" name="生效结束_可选"/>
    <x:tableColumn id="11" name="优先级"/>
    <x:tableColumn id="12" name="状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Table" displayName="FieldDictionaryTable" ref="A4:F59" headerRowCount="1" totalsRowCount="0" totalsRowShown="0">
  <x:tableColumns count="6">
    <x:tableColumn id="1" name="数据表"/>
    <x:tableColumn id="2" name="字段名"/>
    <x:tableColumn id="3" name="数据类型"/>
    <x:tableColumn id="4" name="必填"/>
    <x:tableColumn id="5" name="标准化/计算规则"/>
    <x:tableColumn id="6" name="用途与边界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AcceptanceRulesTable" displayName="AcceptanceRulesTable" ref="A10:E21" headerRowCount="1" totalsRowCount="0" totalsRowShown="0">
  <x:tableColumns count="5">
    <x:tableColumn id="1" name="级别"/>
    <x:tableColumn id="2" name="规则"/>
    <x:tableColumn id="3" name="通过标准"/>
    <x:tableColumn id="4" name="修复位置"/>
    <x:tableColumn id="5" name="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654c7de0174d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5ef1c3420043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bb98a77a5848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993347395d45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e04804fda0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973e561c948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f01113e86542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2" hidden="0" customWidth="1"/>
    <x:col min="5" max="5" width="30" hidden="0" customWidth="1"/>
    <x:col min="6" max="6" width="10" hidden="0" customWidth="1"/>
    <x:col min="7" max="7" width="22" hidden="0" customWidth="1"/>
    <x:col min="8" max="8" width="30" hidden="0" customWidth="1"/>
  </x:cols>
  <x:sheetData>
    <x:row r="1" ht="42" customHeight="1">
      <x:c r="A1" s="84" t="str">
        <x:v>电商前台利润｜数据准备与映射正式模板</x:v>
      </x:c>
      <x:c r="B1" s="84"/>
      <x:c r="C1" s="84"/>
      <x:c r="D1" s="84"/>
      <x:c r="E1" s="84"/>
      <x:c r="F1" s="84"/>
      <x:c r="G1" s="84"/>
      <x:c r="H1" s="84"/>
    </x:row>
    <x:row r="2" ht="34" customHeight="1">
      <x:c r="A2" s="85" t="str">
        <x:v>版本 v1.1｜发布日期 2026-08-05｜本文件不含用户真实业务数据；黄色为输入，蓝色为公式。</x:v>
      </x:c>
      <x:c r="B2" s="85"/>
      <x:c r="C2" s="85"/>
      <x:c r="D2" s="85"/>
      <x:c r="E2" s="85"/>
      <x:c r="F2" s="85"/>
      <x:c r="G2" s="85"/>
      <x:c r="H2" s="85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 ht="26" customHeight="1">
      <x:c r="A4" s="11" t="str">
        <x:v>最省事的使用方式</x:v>
      </x:c>
      <x:c r="B4" s="11"/>
      <x:c r="C4" s="11"/>
      <x:c r="D4" s="11"/>
      <x:c r="E4" s="11"/>
      <x:c r="F4" s="11"/>
      <x:c r="G4" s="11"/>
      <x:c r="H4" s="11"/>
    </x:row>
    <x:row r="5" ht="32" customHeight="1">
      <x:c r="A5" s="74" t="str">
        <x:v>1</x:v>
      </x:c>
      <x:c r="B5" s="75" t="str">
        <x:v>打开“前台利润标准表”</x:v>
      </x:c>
      <x:c r="C5" s="18" t="str">
        <x:v>一行就是 日期 + 平台 + 业务模式 + 店铺 + 运营 的一个汇总键。</x:v>
      </x:c>
      <x:c r="D5" s="18"/>
      <x:c r="E5" s="18"/>
      <x:c r="F5" s="18"/>
      <x:c r="G5" s="18"/>
      <x:c r="H5" s="18"/>
    </x:row>
    <x:row r="6" ht="32" customHeight="1">
      <x:c r="A6" s="74" t="str">
        <x:v>2</x:v>
      </x:c>
      <x:c r="B6" s="75" t="str">
        <x:v>只填黄色列</x:v>
      </x:c>
      <x:c r="C6" s="18" t="str">
        <x:v>所有金额字段都必须给出数字；没有发生就填 0，不要用空白代替业务零。</x:v>
      </x:c>
      <x:c r="D6" s="18"/>
      <x:c r="E6" s="18"/>
      <x:c r="F6" s="18"/>
      <x:c r="G6" s="18"/>
      <x:c r="H6" s="18"/>
    </x:row>
    <x:row r="7" ht="32" customHeight="1">
      <x:c r="A7" s="74" t="str">
        <x:v>3</x:v>
      </x:c>
      <x:c r="B7" s="75" t="str">
        <x:v>查看蓝色公式列</x:v>
      </x:c>
      <x:c r="C7" s="18" t="str">
        <x:v>真实营业额、前台利润、付费占比、数据状态自动计算；向表格新增行时公式会继承。</x:v>
      </x:c>
      <x:c r="D7" s="18"/>
      <x:c r="E7" s="18"/>
      <x:c r="F7" s="18"/>
      <x:c r="G7" s="18"/>
      <x:c r="H7" s="18"/>
    </x:row>
    <x:row r="8" ht="32" customHeight="1">
      <x:c r="A8" s="74" t="str">
        <x:v>4</x:v>
      </x:c>
      <x:c r="B8" s="75" t="str">
        <x:v>交给数据中台</x:v>
      </x:c>
      <x:c r="C8" s="18" t="str">
        <x:v>可直接按标准字段导入；不要上传“使用说明、规则、Checks”等说明页作为事实数据。</x:v>
      </x:c>
      <x:c r="D8" s="18"/>
      <x:c r="E8" s="18"/>
      <x:c r="F8" s="18"/>
      <x:c r="G8" s="18"/>
      <x:c r="H8" s="18"/>
    </x:row>
    <x:row r="9">
      <x:c r="A9" s="53"/>
      <x:c r="B9" s="53"/>
      <x:c r="C9" s="53"/>
      <x:c r="D9" s="53"/>
      <x:c r="E9" s="53"/>
      <x:c r="F9" s="53"/>
      <x:c r="G9" s="53"/>
      <x:c r="H9" s="53"/>
    </x:row>
    <x:row r="10" ht="26" customHeight="1">
      <x:c r="A10" s="21" t="str">
        <x:v>需要追溯时的标准链路</x:v>
      </x:c>
      <x:c r="B10" s="21"/>
      <x:c r="C10" s="21"/>
      <x:c r="D10" s="21"/>
      <x:c r="E10" s="21"/>
      <x:c r="F10" s="21"/>
      <x:c r="G10" s="21"/>
      <x:c r="H10" s="21"/>
    </x:row>
    <x:row r="11" ht="42" customHeight="1">
      <x:c r="A11" s="24" t="str">
        <x:v>经营明细接口</x:v>
      </x:c>
      <x:c r="B11" s="24" t="str">
        <x:v>放订单/出库/销售相关原子事实；0 出库排除，负出库保留告警。</x:v>
      </x:c>
      <x:c r="C11" s="26" t="str">
        <x:v>→</x:v>
      </x:c>
      <x:c r="D11" s="24" t="str">
        <x:v>费用事实接口</x:v>
      </x:c>
      <x:c r="E11" s="24" t="str">
        <x:v>推广、补单等独立事实；is_additive=否的镜像不计入。</x:v>
      </x:c>
      <x:c r="F11" s="26" t="str">
        <x:v>→</x:v>
      </x:c>
      <x:c r="G11" s="24" t="str">
        <x:v>映射表</x:v>
      </x:c>
      <x:c r="H11" s="24" t="str">
        <x:v>解析店铺、运营、组。</x:v>
      </x:c>
    </x:row>
    <x:row r="12" ht="42" customHeight="1">
      <x:c r="A12" s="24" t="str">
        <x:v>聚合规则</x:v>
      </x:c>
      <x:c r="B12" s="24" t="str">
        <x:v>经营和费用先分别标准化，再 FULL OUTER 到 日期+店铺+运营。</x:v>
      </x:c>
      <x:c r="C12" s="26" t="str">
        <x:v>→</x:v>
      </x:c>
      <x:c r="D12" s="24" t="str">
        <x:v>推广孤儿</x:v>
      </x:c>
      <x:c r="E12" s="24" t="str">
        <x:v>有推广无经营也必须生成结果行，利润可为负。</x:v>
      </x:c>
      <x:c r="F12" s="26" t="str">
        <x:v>→</x:v>
      </x:c>
      <x:c r="G12" s="24" t="str">
        <x:v>标准利润表</x:v>
      </x:c>
      <x:c r="H12" s="24" t="str">
        <x:v>作为中台输出和分享接口。</x:v>
      </x:c>
    </x:row>
    <x:row r="13" ht="42" customHeight="1">
      <x:c r="A13" s="24" t="str">
        <x:v>POP / 自营</x:v>
      </x:c>
      <x:c r="B13" s="24" t="str">
        <x:v>上游适配分开，落地字段合同相同。</x:v>
      </x:c>
      <x:c r="C13" s="26" t="str">
        <x:v>→</x:v>
      </x:c>
      <x:c r="D13" s="24" t="str">
        <x:v>补单</x:v>
      </x:c>
      <x:c r="E13" s="24" t="str">
        <x:v>补单金额扣减；补单产品成本加回。</x:v>
      </x:c>
      <x:c r="F13" s="26" t="str">
        <x:v>→</x:v>
      </x:c>
      <x:c r="G13" s="24" t="str">
        <x:v>金额精度</x:v>
      </x:c>
      <x:c r="H13" s="24" t="str">
        <x:v>人民币保留到分，对账容差 0.01。</x:v>
      </x:c>
    </x:row>
    <x:row r="14" ht="42" customHeight="1">
      <x:c r="A14" s="24" t="str">
        <x:v>复杂字段</x:v>
      </x:c>
      <x:c r="B14" s="24" t="str">
        <x:v>账户、店铺2、生效期、单位成本可作为增强。</x:v>
      </x:c>
      <x:c r="C14" s="26" t="str">
        <x:v>→</x:v>
      </x:c>
      <x:c r="D14" s="24" t="str">
        <x:v>不阻塞前提</x:v>
      </x:c>
      <x:c r="E14" s="24" t="str">
        <x:v>行级店铺、运营和成本金额已经明确。</x:v>
      </x:c>
      <x:c r="F14" s="26" t="str">
        <x:v>→</x:v>
      </x:c>
      <x:c r="G14" s="24" t="str">
        <x:v>不能跳过</x:v>
      </x:c>
      <x:c r="H14" s="24" t="str">
        <x:v>日期、店铺、运营、金额、重复键和费用完整性。</x:v>
      </x:c>
    </x:row>
    <x:row r="15">
      <x:c r="A15" s="53"/>
      <x:c r="B15" s="53"/>
      <x:c r="C15" s="53"/>
      <x:c r="D15" s="53"/>
      <x:c r="E15" s="53"/>
      <x:c r="F15" s="53"/>
      <x:c r="G15" s="53"/>
      <x:c r="H15" s="53"/>
    </x:row>
    <x:row r="16" ht="26" customHeight="1">
      <x:c r="A16" s="11" t="str">
        <x:v>统一利润口径</x:v>
      </x:c>
      <x:c r="B16" s="11"/>
      <x:c r="C16" s="11"/>
      <x:c r="D16" s="11"/>
      <x:c r="E16" s="11"/>
      <x:c r="F16" s="11"/>
      <x:c r="G16" s="11"/>
      <x:c r="H16" s="11"/>
    </x:row>
    <x:row r="17" ht="38" customHeight="1">
      <x:c r="A17" s="30" t="str">
        <x:v>前台利润 = 出货货值 - 产品成本 - 运费 - 补单金额 - 平台扣点 - 税点 - 财务成本 - 佣金 - 推广费 + 补单产品成本</x:v>
      </x:c>
      <x:c r="B17" s="30"/>
      <x:c r="C17" s="30"/>
      <x:c r="D17" s="30"/>
      <x:c r="E17" s="30"/>
      <x:c r="F17" s="30"/>
      <x:c r="G17" s="30"/>
      <x:c r="H17" s="30"/>
    </x:row>
    <x:row r="18">
      <x:c r="A18" s="53"/>
      <x:c r="B18" s="53"/>
      <x:c r="C18" s="53"/>
      <x:c r="D18" s="53"/>
      <x:c r="E18" s="53"/>
      <x:c r="F18" s="53"/>
      <x:c r="G18" s="53"/>
      <x:c r="H18" s="53"/>
    </x:row>
    <x:row r="19" ht="34" customHeight="1">
      <x:c r="A19" s="76" t="str">
        <x:v>模板通过 ≠ 每批业务数据自动通过。模板通过只证明字段、公式和边界规则可用；每次导入仍要在 Checks 中确认阻塞项为 0。</x:v>
      </x:c>
      <x:c r="B19" s="76"/>
      <x:c r="C19" s="76"/>
      <x:c r="D19" s="76"/>
      <x:c r="E19" s="76"/>
      <x:c r="F19" s="76"/>
      <x:c r="G19" s="76"/>
      <x:c r="H19" s="76"/>
    </x:row>
  </x:sheetData>
  <x:mergeCells>
    <x:mergeCell ref="A1:H1"/>
    <x:mergeCell ref="A2:H2"/>
    <x:mergeCell ref="A4:H4"/>
    <x:mergeCell ref="C5:H5"/>
    <x:mergeCell ref="C6:H6"/>
    <x:mergeCell ref="C7:H7"/>
    <x:mergeCell ref="C8:H8"/>
    <x:mergeCell ref="A10:H10"/>
    <x:mergeCell ref="A16:H16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1" hidden="0" customWidth="1"/>
    <x:col min="4" max="4" width="12" hidden="0" customWidth="1"/>
    <x:col min="5" max="5" width="16" hidden="0" customWidth="1"/>
    <x:col min="6" max="6" width="36" hidden="0" customWidth="1"/>
    <x:col min="7" max="7" width="16" hidden="0" customWidth="1"/>
    <x:col min="8" max="8" width="12" hidden="0" customWidth="1"/>
    <x:col min="9" max="9" width="12" hidden="0" customWidth="1"/>
    <x:col min="10" max="10" width="15" hidden="0" customWidth="1"/>
    <x:col min="11" max="11" width="15" hidden="0" customWidth="1"/>
    <x:col min="12" max="12" width="17" hidden="0" customWidth="1"/>
    <x:col min="13" max="13" width="13" hidden="0" customWidth="1"/>
    <x:col min="14" max="14" width="15" hidden="0" customWidth="1"/>
    <x:col min="15" max="15" width="15" hidden="0" customWidth="1"/>
    <x:col min="16" max="16" width="17" hidden="0" customWidth="1"/>
    <x:col min="17" max="17" width="13" hidden="0" customWidth="1"/>
    <x:col min="18" max="18" width="15" hidden="0" customWidth="1"/>
    <x:col min="19" max="19" width="13" hidden="0" customWidth="1"/>
    <x:col min="20" max="20" width="13" hidden="0" customWidth="1"/>
    <x:col min="21" max="21" width="15" hidden="0" customWidth="1"/>
    <x:col min="22" max="22" width="16" hidden="0" customWidth="1"/>
    <x:col min="23" max="23" width="16" hidden="0" customWidth="1"/>
    <x:col min="24" max="24" width="14" hidden="0" customWidth="1"/>
    <x:col min="25" max="25" width="24" hidden="0" customWidth="1"/>
    <x:col min="26" max="26" width="32" hidden="0" customWidth="1"/>
    <x:col min="27" max="27" width="22" hidden="0" customWidth="1"/>
    <x:col min="28" max="28" width="32" hidden="0" customWidth="1"/>
  </x:cols>
  <x:sheetData>
    <x:row r="1" ht="42" customHeight="1">
      <x:c r="A1" s="4" t="str">
        <x:v>前台利润标准表｜中台输出合同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34" customHeight="1">
      <x:c r="A2" s="8" t="str">
        <x:v>粒度：日期 + 平台 + 业务模式 + 店铺 + 运营。黄色列录入，蓝色列为公式；无业务发生的金额请显式填 0。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3">
      <x:c r="A3" s="77" t="str">
        <x:v>必填：record_id、日期、平台、业务模式、店铺、运营及 13 个数量/金额字段。组、店铺2、来源元数据可选。</x:v>
      </x:c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  <x:c r="AA3" s="77"/>
      <x:c r="AB3" s="77"/>
    </x:row>
    <x:row r="4" ht="34" customHeight="1">
      <x:c r="A4" s="44" t="str">
        <x:v>record_id</x:v>
      </x:c>
      <x:c r="B4" s="45" t="str">
        <x:v>日期</x:v>
      </x:c>
      <x:c r="C4" s="45" t="str">
        <x:v>平台</x:v>
      </x:c>
      <x:c r="D4" s="45" t="str">
        <x:v>业务模式</x:v>
      </x:c>
      <x:c r="E4" s="45" t="str">
        <x:v>组</x:v>
      </x:c>
      <x:c r="F4" s="45" t="str">
        <x:v>店铺</x:v>
      </x:c>
      <x:c r="G4" s="45" t="str">
        <x:v>店铺2</x:v>
      </x:c>
      <x:c r="H4" s="45" t="str">
        <x:v>运营</x:v>
      </x:c>
      <x:c r="I4" s="45" t="str">
        <x:v>单量</x:v>
      </x:c>
      <x:c r="J4" s="45" t="str">
        <x:v>GMV</x:v>
      </x:c>
      <x:c r="K4" s="45" t="str">
        <x:v>补单金额</x:v>
      </x:c>
      <x:c r="L4" s="45" t="str">
        <x:v>补单产品成本</x:v>
      </x:c>
      <x:c r="M4" s="45" t="str">
        <x:v>补单单量</x:v>
      </x:c>
      <x:c r="N4" s="45" t="str">
        <x:v>产品成本</x:v>
      </x:c>
      <x:c r="O4" s="45" t="str">
        <x:v>出货货值</x:v>
      </x:c>
      <x:c r="P4" s="45" t="str">
        <x:v>平台扣点/毛保</x:v>
      </x:c>
      <x:c r="Q4" s="45" t="str">
        <x:v>税点</x:v>
      </x:c>
      <x:c r="R4" s="45" t="str">
        <x:v>财务成本</x:v>
      </x:c>
      <x:c r="S4" s="45" t="str">
        <x:v>运费</x:v>
      </x:c>
      <x:c r="T4" s="45" t="str">
        <x:v>佣金</x:v>
      </x:c>
      <x:c r="U4" s="45" t="str">
        <x:v>推广费</x:v>
      </x:c>
      <x:c r="V4" s="81" t="str">
        <x:v>真实营业额</x:v>
      </x:c>
      <x:c r="W4" s="82" t="str">
        <x:v>前台利润</x:v>
      </x:c>
      <x:c r="X4" s="82" t="str">
        <x:v>付费占比</x:v>
      </x:c>
      <x:c r="Y4" s="83" t="str">
        <x:v>数据状态</x:v>
      </x:c>
      <x:c r="Z4" s="45" t="str">
        <x:v>来源文件</x:v>
      </x:c>
      <x:c r="AA4" s="45" t="str">
        <x:v>来源批次</x:v>
      </x:c>
      <x:c r="AB4" s="46" t="str">
        <x:v>备注</x:v>
      </x:c>
    </x:row>
    <x:row r="5">
      <x:c r="A5" s="49"/>
      <x:c r="B5" s="52"/>
      <x:c r="C5" s="54"/>
      <x:c r="D5" s="54"/>
      <x:c r="E5" s="54"/>
      <x:c r="F5" s="54"/>
      <x:c r="G5" s="54"/>
      <x:c r="H5" s="54"/>
      <x:c r="I5" s="57"/>
      <x:c r="J5" s="60"/>
      <x:c r="K5" s="60"/>
      <x:c r="L5" s="60"/>
      <x:c r="M5" s="57"/>
      <x:c r="N5" s="60"/>
      <x:c r="O5" s="60"/>
      <x:c r="P5" s="60"/>
      <x:c r="Q5" s="60"/>
      <x:c r="R5" s="60"/>
      <x:c r="S5" s="60"/>
      <x:c r="T5" s="60"/>
      <x:c r="U5" s="60"/>
      <x:c r="V5" s="61" t="str">
        <x:f>IF(COUNTA($A5:$U5)=0,"",$J5-$K5)</x:f>
      </x:c>
      <x:c r="W5" s="61" t="str">
        <x:f>IF(COUNTA($A5:$U5)=0,"",$O5-$N5-$S5-$K5-$P5-$Q5-$R5-$T5-$U5+$L5)</x:f>
      </x:c>
      <x:c r="X5" s="64" t="str">
        <x:f>IF(COUNTA($A5:$U5)=0,"",IFERROR($U5/$J5,0))</x:f>
      </x:c>
      <x:c r="Y5" s="65" t="str">
        <x:f>IF(COUNTA($A5:$U5)=0,"待填写",IF($A5="","阻塞：record_id缺失",IF(COUNTIF($A$5:$A$10004,$A5)&gt;1,"阻塞：record_id重复",IF(NOT(ISNUMBER($B5)),"阻塞：日期非标准日期",IF(OR($C5="",$D5="",$F5="",$H5=""),"阻塞：平台/模式/店铺/运营缺失",IF(COUNT($I5:$U5)&lt;&gt;13,"阻塞：数量或金额为空/非数值",IF(OR($D5="自营",$D5="POP",$D5="其他"),"通过","阻塞：业务模式非法")))))))</x:f>
        <x:v>待填写</x:v>
      </x:c>
      <x:c r="Z5" s="54"/>
      <x:c r="AA5" s="49"/>
      <x:c r="AB5" s="68"/>
    </x:row>
  </x:sheetData>
  <x:mergeCells>
    <x:mergeCell ref="A1:AB1"/>
    <x:mergeCell ref="A2:AB2"/>
    <x:mergeCell ref="A3:AB3"/>
  </x:mergeCells>
  <x:conditionalFormatting sqref="Y5:Y5">
    <x:cfRule type="containsText" dxfId="0" priority="1" operator="containsText" text="通过"/>
    <x:cfRule type="containsText" dxfId="1" priority="2" operator="containsText" text="待"/>
    <x:cfRule type="containsText" dxfId="2" priority="3" operator="containsText" text="阻塞"/>
    <x:cfRule type="containsText" dxfId="3" priority="4" operator="containsText" text="失败"/>
    <x:cfRule type="containsText" dxfId="4" priority="5" operator="containsText" text="告警"/>
  </x:conditionalFormatting>
  <x:dataValidations count="2">
    <x:dataValidation type="list" sqref="C5">
      <x:formula1>"京东,拼多多,天猫,抖音,其他"</x:formula1>
    </x:dataValidation>
    <x:dataValidation type="list" sqref="D5">
      <x:formula1>"自营,POP,其他"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54c7de0174d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1" hidden="0" customWidth="1"/>
    <x:col min="4" max="4" width="12" hidden="0" customWidth="1"/>
    <x:col min="5" max="5" width="34" hidden="0" customWidth="1"/>
    <x:col min="6" max="6" width="13" hidden="0" customWidth="1"/>
    <x:col min="7" max="7" width="15" hidden="0" customWidth="1"/>
    <x:col min="8" max="8" width="24" hidden="0" customWidth="1"/>
    <x:col min="9" max="9" width="13" hidden="0" customWidth="1"/>
    <x:col min="10" max="10" width="12" hidden="0" customWidth="1"/>
    <x:col min="11" max="11" width="15" hidden="0" customWidth="1"/>
    <x:col min="12" max="12" width="15" hidden="0" customWidth="1"/>
    <x:col min="13" max="13" width="15" hidden="0" customWidth="1"/>
    <x:col min="14" max="14" width="13" hidden="0" customWidth="1"/>
    <x:col min="15" max="15" width="17" hidden="0" customWidth="1"/>
    <x:col min="16" max="16" width="13" hidden="0" customWidth="1"/>
    <x:col min="17" max="17" width="15" hidden="0" customWidth="1"/>
    <x:col min="18" max="18" width="13" hidden="0" customWidth="1"/>
    <x:col min="19" max="19" width="32" hidden="0" customWidth="1"/>
    <x:col min="20" max="20" width="20" hidden="0" customWidth="1"/>
    <x:col min="21" max="21" width="13" hidden="0" customWidth="1"/>
    <x:col min="22" max="22" width="13" hidden="0" customWidth="1"/>
    <x:col min="23" max="23" width="32" hidden="0" customWidth="1"/>
  </x:cols>
  <x:sheetData>
    <x:row r="1" ht="42" customHeight="1">
      <x:c r="A1" s="4" t="str">
        <x:v>经营明细接口｜原子事实（可选但推荐）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34" customHeight="1">
      <x:c r="A2" s="8" t="str">
        <x:v>用于可追溯接入。SKU/商品ID、记录ID和来源行号按文本保存；出库数量=0排除经营事实，负出库保留并告警。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</x:row>
    <x:row r="4" ht="34" customHeight="1">
      <x:c r="A4" s="44" t="str">
        <x:v>source_record_id</x:v>
      </x:c>
      <x:c r="B4" s="45" t="str">
        <x:v>日期</x:v>
      </x:c>
      <x:c r="C4" s="45" t="str">
        <x:v>平台</x:v>
      </x:c>
      <x:c r="D4" s="45" t="str">
        <x:v>业务模式</x:v>
      </x:c>
      <x:c r="E4" s="45" t="str">
        <x:v>店铺</x:v>
      </x:c>
      <x:c r="F4" s="45" t="str">
        <x:v>运营_源</x:v>
      </x:c>
      <x:c r="G4" s="45" t="str">
        <x:v>组_源</x:v>
      </x:c>
      <x:c r="H4" s="45" t="str">
        <x:v>SKU_商品ID</x:v>
      </x:c>
      <x:c r="I4" s="45" t="str">
        <x:v>出库数量</x:v>
      </x:c>
      <x:c r="J4" s="45" t="str">
        <x:v>单量</x:v>
      </x:c>
      <x:c r="K4" s="45" t="str">
        <x:v>GMV</x:v>
      </x:c>
      <x:c r="L4" s="45" t="str">
        <x:v>出货货值</x:v>
      </x:c>
      <x:c r="M4" s="45" t="str">
        <x:v>产品成本</x:v>
      </x:c>
      <x:c r="N4" s="45" t="str">
        <x:v>运费</x:v>
      </x:c>
      <x:c r="O4" s="45" t="str">
        <x:v>平台扣点/毛保</x:v>
      </x:c>
      <x:c r="P4" s="45" t="str">
        <x:v>税点</x:v>
      </x:c>
      <x:c r="Q4" s="45" t="str">
        <x:v>财务成本</x:v>
      </x:c>
      <x:c r="R4" s="45" t="str">
        <x:v>佣金</x:v>
      </x:c>
      <x:c r="S4" s="45" t="str">
        <x:v>来源文件</x:v>
      </x:c>
      <x:c r="T4" s="45" t="str">
        <x:v>来源工作表</x:v>
      </x:c>
      <x:c r="U4" s="45" t="str">
        <x:v>来源行号</x:v>
      </x:c>
      <x:c r="V4" s="45" t="str">
        <x:v>is_additive</x:v>
      </x:c>
      <x:c r="W4" s="46" t="str">
        <x:v>备注</x:v>
      </x:c>
    </x:row>
    <x:row r="5">
      <x:c r="A5" s="49"/>
      <x:c r="B5" s="52"/>
      <x:c r="C5" s="54"/>
      <x:c r="D5" s="54"/>
      <x:c r="E5" s="54"/>
      <x:c r="F5" s="54"/>
      <x:c r="G5" s="54"/>
      <x:c r="H5" s="49"/>
      <x:c r="I5" s="57"/>
      <x:c r="J5" s="57"/>
      <x:c r="K5" s="60"/>
      <x:c r="L5" s="60"/>
      <x:c r="M5" s="60"/>
      <x:c r="N5" s="60"/>
      <x:c r="O5" s="60"/>
      <x:c r="P5" s="60"/>
      <x:c r="Q5" s="60"/>
      <x:c r="R5" s="60"/>
      <x:c r="S5" s="54"/>
      <x:c r="T5" s="54"/>
      <x:c r="U5" s="49"/>
      <x:c r="V5" s="54"/>
      <x:c r="W5" s="68"/>
    </x:row>
  </x:sheetData>
  <x:mergeCells>
    <x:mergeCell ref="A1:W1"/>
    <x:mergeCell ref="A2:W2"/>
  </x:mergeCells>
  <x:dataValidations count="3">
    <x:dataValidation type="list" sqref="C5">
      <x:formula1>"京东,拼多多,天猫,抖音,其他"</x:formula1>
    </x:dataValidation>
    <x:dataValidation type="list" sqref="D5">
      <x:formula1>"自营,POP,其他"</x:formula1>
    </x:dataValidation>
    <x:dataValidation type="list" sqref="V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5ef1c3420043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1" hidden="0" customWidth="1"/>
    <x:col min="4" max="4" width="12" hidden="0" customWidth="1"/>
    <x:col min="5" max="5" width="20" hidden="0" customWidth="1"/>
    <x:col min="6" max="6" width="22" hidden="0" customWidth="1"/>
    <x:col min="7" max="7" width="34" hidden="0" customWidth="1"/>
    <x:col min="8" max="8" width="13" hidden="0" customWidth="1"/>
    <x:col min="9" max="9" width="15" hidden="0" customWidth="1"/>
    <x:col min="10" max="10" width="24" hidden="0" customWidth="1"/>
    <x:col min="11" max="11" width="15" hidden="0" customWidth="1"/>
    <x:col min="12" max="12" width="13" hidden="0" customWidth="1"/>
    <x:col min="13" max="13" width="13" hidden="0" customWidth="1"/>
    <x:col min="14" max="14" width="32" hidden="0" customWidth="1"/>
    <x:col min="15" max="15" width="20" hidden="0" customWidth="1"/>
    <x:col min="16" max="16" width="13" hidden="0" customWidth="1"/>
    <x:col min="17" max="17" width="32" hidden="0" customWidth="1"/>
  </x:cols>
  <x:sheetData>
    <x:row r="1" ht="42" customHeight="1">
      <x:c r="A1" s="4" t="str">
        <x:v>费用事实接口｜推广、补单及独立费用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8" t="str">
        <x:v>费用先独立标准化，再与经营事实 FULL OUTER 聚合。推广可没有出库；镜像/缓存记录必须标 is_additive=否。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</x:row>
    <x:row r="4" ht="34" customHeight="1">
      <x:c r="A4" s="44" t="str">
        <x:v>fee_id</x:v>
      </x:c>
      <x:c r="B4" s="45" t="str">
        <x:v>日期</x:v>
      </x:c>
      <x:c r="C4" s="45" t="str">
        <x:v>平台</x:v>
      </x:c>
      <x:c r="D4" s="45" t="str">
        <x:v>业务模式</x:v>
      </x:c>
      <x:c r="E4" s="45" t="str">
        <x:v>费用类型</x:v>
      </x:c>
      <x:c r="F4" s="45" t="str">
        <x:v>账户</x:v>
      </x:c>
      <x:c r="G4" s="45" t="str">
        <x:v>店铺</x:v>
      </x:c>
      <x:c r="H4" s="45" t="str">
        <x:v>运营</x:v>
      </x:c>
      <x:c r="I4" s="45" t="str">
        <x:v>组</x:v>
      </x:c>
      <x:c r="J4" s="45" t="str">
        <x:v>SKU_商品ID</x:v>
      </x:c>
      <x:c r="K4" s="45" t="str">
        <x:v>金额</x:v>
      </x:c>
      <x:c r="L4" s="45" t="str">
        <x:v>数量</x:v>
      </x:c>
      <x:c r="M4" s="45" t="str">
        <x:v>is_additive</x:v>
      </x:c>
      <x:c r="N4" s="45" t="str">
        <x:v>来源文件</x:v>
      </x:c>
      <x:c r="O4" s="45" t="str">
        <x:v>来源工作表</x:v>
      </x:c>
      <x:c r="P4" s="45" t="str">
        <x:v>来源行号</x:v>
      </x:c>
      <x:c r="Q4" s="46" t="str">
        <x:v>备注</x:v>
      </x:c>
    </x:row>
    <x:row r="5">
      <x:c r="A5" s="49"/>
      <x:c r="B5" s="52"/>
      <x:c r="C5" s="54"/>
      <x:c r="D5" s="54"/>
      <x:c r="E5" s="54"/>
      <x:c r="F5" s="49"/>
      <x:c r="G5" s="54"/>
      <x:c r="H5" s="54"/>
      <x:c r="I5" s="54"/>
      <x:c r="J5" s="49"/>
      <x:c r="K5" s="60"/>
      <x:c r="L5" s="57"/>
      <x:c r="M5" s="54"/>
      <x:c r="N5" s="54"/>
      <x:c r="O5" s="54"/>
      <x:c r="P5" s="49"/>
      <x:c r="Q5" s="68"/>
    </x:row>
  </x:sheetData>
  <x:mergeCells>
    <x:mergeCell ref="A1:Q1"/>
    <x:mergeCell ref="A2:Q2"/>
  </x:mergeCells>
  <x:dataValidations count="4">
    <x:dataValidation type="list" sqref="C5">
      <x:formula1>"京东,拼多多,天猫,抖音,其他"</x:formula1>
    </x:dataValidation>
    <x:dataValidation type="list" sqref="D5">
      <x:formula1>"自营,POP,其他"</x:formula1>
    </x:dataValidation>
    <x:dataValidation type="list" sqref="E5">
      <x:formula1>"推广费,补单金额,补单产品成本,运费,平台扣点/毛保,税点,财务成本,佣金,其他"</x:formula1>
    </x:dataValidation>
    <x:dataValidation type="list" sqref="M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bb98a77a5848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2" hidden="0" customWidth="1"/>
    <x:col min="4" max="4" width="34" hidden="0" customWidth="1"/>
    <x:col min="5" max="5" width="24" hidden="0" customWidth="1"/>
    <x:col min="6" max="6" width="13" hidden="0" customWidth="1"/>
    <x:col min="7" max="7" width="15" hidden="0" customWidth="1"/>
    <x:col min="8" max="8" width="17" hidden="0" customWidth="1"/>
    <x:col min="9" max="9" width="16" hidden="0" customWidth="1"/>
    <x:col min="10" max="10" width="16" hidden="0" customWidth="1"/>
    <x:col min="11" max="11" width="11" hidden="0" customWidth="1"/>
    <x:col min="12" max="12" width="13" hidden="0" customWidth="1"/>
    <x:col min="13" max="13" width="28" hidden="0" customWidth="1"/>
    <x:col min="14" max="14" width="32" hidden="0" customWidth="1"/>
  </x:cols>
  <x:sheetData>
    <x:row r="1" ht="42" customHeight="1">
      <x:c r="A1" s="4" t="str">
        <x:v>SKU → 店铺 / 运营 / 组映射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8" t="str">
        <x:v>一店多运营时必须按 SKU 或更细键消歧，禁止平均分摊。已有行级运营/产品成本金额时，单位成本与生效期可作为增强。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</x:row>
    <x:row r="4" ht="34" customHeight="1">
      <x:c r="A4" s="44" t="str">
        <x:v>mapping_id</x:v>
      </x:c>
      <x:c r="B4" s="45" t="str">
        <x:v>平台</x:v>
      </x:c>
      <x:c r="C4" s="45" t="str">
        <x:v>业务模式</x:v>
      </x:c>
      <x:c r="D4" s="45" t="str">
        <x:v>店铺</x:v>
      </x:c>
      <x:c r="E4" s="45" t="str">
        <x:v>SKU_商品ID</x:v>
      </x:c>
      <x:c r="F4" s="45" t="str">
        <x:v>运营</x:v>
      </x:c>
      <x:c r="G4" s="45" t="str">
        <x:v>组</x:v>
      </x:c>
      <x:c r="H4" s="45" t="str">
        <x:v>单位成本_可选</x:v>
      </x:c>
      <x:c r="I4" s="45" t="str">
        <x:v>生效开始_可选</x:v>
      </x:c>
      <x:c r="J4" s="45" t="str">
        <x:v>生效结束_可选</x:v>
      </x:c>
      <x:c r="K4" s="45" t="str">
        <x:v>优先级</x:v>
      </x:c>
      <x:c r="L4" s="45" t="str">
        <x:v>状态</x:v>
      </x:c>
      <x:c r="M4" s="45" t="str">
        <x:v>来源</x:v>
      </x:c>
      <x:c r="N4" s="46" t="str">
        <x:v>备注</x:v>
      </x:c>
    </x:row>
    <x:row r="5">
      <x:c r="A5" s="49"/>
      <x:c r="B5" s="54"/>
      <x:c r="C5" s="54"/>
      <x:c r="D5" s="54"/>
      <x:c r="E5" s="49"/>
      <x:c r="F5" s="54"/>
      <x:c r="G5" s="54"/>
      <x:c r="H5" s="60"/>
      <x:c r="I5" s="52"/>
      <x:c r="J5" s="52"/>
      <x:c r="K5" s="57"/>
      <x:c r="L5" s="54"/>
      <x:c r="M5" s="54"/>
      <x:c r="N5" s="68"/>
    </x:row>
  </x:sheetData>
  <x:mergeCells>
    <x:mergeCell ref="A1:N1"/>
    <x:mergeCell ref="A2:N2"/>
  </x:mergeCells>
  <x:conditionalFormatting sqref="L5:L5">
    <x:cfRule type="containsText" dxfId="5" priority="1" operator="containsText" text="通过"/>
    <x:cfRule type="containsText" dxfId="6" priority="2" operator="containsText" text="待"/>
    <x:cfRule type="containsText" dxfId="7" priority="3" operator="containsText" text="阻塞"/>
    <x:cfRule type="containsText" dxfId="8" priority="4" operator="containsText" text="失败"/>
    <x:cfRule type="containsText" dxfId="9" priority="5" operator="containsText" text="告警"/>
  </x:conditionalFormatting>
  <x:dataValidations count="3">
    <x:dataValidation type="list" sqref="B5">
      <x:formula1>"京东,拼多多,天猫,抖音,其他"</x:formula1>
    </x:dataValidation>
    <x:dataValidation type="list" sqref="C5">
      <x:formula1>"自营,POP,其他"</x:formula1>
    </x:dataValidation>
    <x:dataValidation type="list" sqref="L5">
      <x:formula1>"有效,停用,待确认"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93347395d45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34" hidden="0" customWidth="1"/>
    <x:col min="5" max="5" width="34" hidden="0" customWidth="1"/>
    <x:col min="6" max="6" width="14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1" hidden="0" customWidth="1"/>
    <x:col min="12" max="12" width="13" hidden="0" customWidth="1"/>
    <x:col min="13" max="13" width="28" hidden="0" customWidth="1"/>
    <x:col min="14" max="14" width="32" hidden="0" customWidth="1"/>
  </x:cols>
  <x:sheetData>
    <x:row r="1" ht="42" customHeight="1">
      <x:c r="A1" s="4" t="str">
        <x:v>账户 / 源店铺 → 标准店铺映射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8" t="str">
        <x:v>标准店铺是必需结果；账户、店铺2和生效期为可选增强。若账户无法解析店铺，费用事实必须列为阻塞缺失键。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</x:row>
    <x:row r="4" ht="34" customHeight="1">
      <x:c r="A4" s="44" t="str">
        <x:v>mapping_id</x:v>
      </x:c>
      <x:c r="B4" s="45" t="str">
        <x:v>平台</x:v>
      </x:c>
      <x:c r="C4" s="45" t="str">
        <x:v>账户_可选</x:v>
      </x:c>
      <x:c r="D4" s="45" t="str">
        <x:v>源店铺</x:v>
      </x:c>
      <x:c r="E4" s="45" t="str">
        <x:v>标准店铺</x:v>
      </x:c>
      <x:c r="F4" s="45" t="str">
        <x:v>运营_可选</x:v>
      </x:c>
      <x:c r="G4" s="45" t="str">
        <x:v>组_可选</x:v>
      </x:c>
      <x:c r="H4" s="45" t="str">
        <x:v>店铺2_可选</x:v>
      </x:c>
      <x:c r="I4" s="45" t="str">
        <x:v>生效开始_可选</x:v>
      </x:c>
      <x:c r="J4" s="45" t="str">
        <x:v>生效结束_可选</x:v>
      </x:c>
      <x:c r="K4" s="45" t="str">
        <x:v>优先级</x:v>
      </x:c>
      <x:c r="L4" s="45" t="str">
        <x:v>状态</x:v>
      </x:c>
      <x:c r="M4" s="45" t="str">
        <x:v>来源</x:v>
      </x:c>
      <x:c r="N4" s="46" t="str">
        <x:v>备注</x:v>
      </x:c>
    </x:row>
    <x:row r="5">
      <x:c r="A5" s="49"/>
      <x:c r="B5" s="54"/>
      <x:c r="C5" s="49"/>
      <x:c r="D5" s="54"/>
      <x:c r="E5" s="54"/>
      <x:c r="F5" s="54"/>
      <x:c r="G5" s="54"/>
      <x:c r="H5" s="54"/>
      <x:c r="I5" s="52"/>
      <x:c r="J5" s="52"/>
      <x:c r="K5" s="57"/>
      <x:c r="L5" s="54"/>
      <x:c r="M5" s="54"/>
      <x:c r="N5" s="68"/>
    </x:row>
  </x:sheetData>
  <x:mergeCells>
    <x:mergeCell ref="A1:N1"/>
    <x:mergeCell ref="A2:N2"/>
  </x:mergeCells>
  <x:conditionalFormatting sqref="L5:L5">
    <x:cfRule type="containsText" dxfId="10" priority="1" operator="containsText" text="通过"/>
    <x:cfRule type="containsText" dxfId="11" priority="2" operator="containsText" text="待"/>
    <x:cfRule type="containsText" dxfId="12" priority="3" operator="containsText" text="阻塞"/>
    <x:cfRule type="containsText" dxfId="13" priority="4" operator="containsText" text="失败"/>
    <x:cfRule type="containsText" dxfId="14" priority="5" operator="containsText" text="告警"/>
  </x:conditionalFormatting>
  <x:dataValidations count="2">
    <x:dataValidation type="list" sqref="B5">
      <x:formula1>"京东,拼多多,天猫,抖音,其他"</x:formula1>
    </x:dataValidation>
    <x:dataValidation type="list" sqref="L5">
      <x:formula1>"有效,停用,待确认"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e04804fda040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11" hidden="0" customWidth="1"/>
    <x:col min="5" max="5" width="46" hidden="0" customWidth="1"/>
    <x:col min="6" max="6" width="48" hidden="0" customWidth="1"/>
  </x:cols>
  <x:sheetData>
    <x:row r="1" ht="42" customHeight="1">
      <x:c r="A1" s="4" t="str">
        <x:v>字段字典｜数据中台合同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“必填=是”属于中台落地合同；“条件”表示在特定费用/映射场景必填；空值与业务零必须区分。</x:v>
      </x:c>
      <x:c r="B2" s="8"/>
      <x:c r="C2" s="8"/>
      <x:c r="D2" s="8"/>
      <x:c r="E2" s="8"/>
      <x:c r="F2" s="8"/>
      <x:c r="G2" s="8"/>
      <x:c r="H2" s="8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 ht="34" customHeight="1">
      <x:c r="A4" s="44" t="str">
        <x:v>数据表</x:v>
      </x:c>
      <x:c r="B4" s="45" t="str">
        <x:v>字段名</x:v>
      </x:c>
      <x:c r="C4" s="45" t="str">
        <x:v>数据类型</x:v>
      </x:c>
      <x:c r="D4" s="45" t="str">
        <x:v>必填</x:v>
      </x:c>
      <x:c r="E4" s="45" t="str">
        <x:v>标准化/计算规则</x:v>
      </x:c>
      <x:c r="F4" s="46" t="str">
        <x:v>用途与边界</x:v>
      </x:c>
      <x:c r="G4" s="53"/>
      <x:c r="H4" s="53"/>
    </x:row>
    <x:row r="5">
      <x:c r="A5" s="53" t="str">
        <x:v>前台利润标准表</x:v>
      </x:c>
      <x:c r="B5" s="53" t="str">
        <x:v>record_id</x:v>
      </x:c>
      <x:c r="C5" s="53" t="str">
        <x:v>文本ID</x:v>
      </x:c>
      <x:c r="D5" s="53" t="str">
        <x:v>是</x:v>
      </x:c>
      <x:c r="E5" s="67" t="str">
        <x:v>唯一；不得科学计数</x:v>
      </x:c>
      <x:c r="F5" s="67" t="str">
        <x:v>日期+平台+模式+店铺+运营的稳定唯一键</x:v>
      </x:c>
      <x:c r="G5" s="53"/>
      <x:c r="H5" s="53"/>
    </x:row>
    <x:row r="6">
      <x:c r="A6" s="53" t="str">
        <x:v>前台利润标准表</x:v>
      </x:c>
      <x:c r="B6" s="53" t="str">
        <x:v>日期</x:v>
      </x:c>
      <x:c r="C6" s="53" t="str">
        <x:v>日期</x:v>
      </x:c>
      <x:c r="D6" s="53" t="str">
        <x:v>是</x:v>
      </x:c>
      <x:c r="E6" s="67" t="str">
        <x:v>yyyy-mm-dd 真日期</x:v>
      </x:c>
      <x:c r="F6" s="67" t="str">
        <x:v>统计日期</x:v>
      </x:c>
      <x:c r="G6" s="53"/>
      <x:c r="H6" s="53"/>
    </x:row>
    <x:row r="7">
      <x:c r="A7" s="53" t="str">
        <x:v>前台利润标准表</x:v>
      </x:c>
      <x:c r="B7" s="53" t="str">
        <x:v>平台</x:v>
      </x:c>
      <x:c r="C7" s="53" t="str">
        <x:v>文本</x:v>
      </x:c>
      <x:c r="D7" s="53" t="str">
        <x:v>是</x:v>
      </x:c>
      <x:c r="E7" s="67" t="str">
        <x:v>标准枚举</x:v>
      </x:c>
      <x:c r="F7" s="67" t="str">
        <x:v>如京东</x:v>
      </x:c>
      <x:c r="G7" s="53"/>
      <x:c r="H7" s="53"/>
    </x:row>
    <x:row r="8">
      <x:c r="A8" s="53" t="str">
        <x:v>前台利润标准表</x:v>
      </x:c>
      <x:c r="B8" s="53" t="str">
        <x:v>业务模式</x:v>
      </x:c>
      <x:c r="C8" s="53" t="str">
        <x:v>文本</x:v>
      </x:c>
      <x:c r="D8" s="53" t="str">
        <x:v>是</x:v>
      </x:c>
      <x:c r="E8" s="67" t="str">
        <x:v>自营/POP/其他</x:v>
      </x:c>
      <x:c r="F8" s="67" t="str">
        <x:v>POP与自营上游适配分开</x:v>
      </x:c>
      <x:c r="G8" s="53"/>
      <x:c r="H8" s="53"/>
    </x:row>
    <x:row r="9">
      <x:c r="A9" s="53" t="str">
        <x:v>前台利润标准表</x:v>
      </x:c>
      <x:c r="B9" s="53" t="str">
        <x:v>组</x:v>
      </x:c>
      <x:c r="C9" s="53" t="str">
        <x:v>文本</x:v>
      </x:c>
      <x:c r="D9" s="53" t="str">
        <x:v>可选</x:v>
      </x:c>
      <x:c r="E9" s="67" t="str">
        <x:v>映射或行级提供</x:v>
      </x:c>
      <x:c r="F9" s="67" t="str">
        <x:v>管理维度，不影响利润公式</x:v>
      </x:c>
      <x:c r="G9" s="53"/>
      <x:c r="H9" s="53"/>
    </x:row>
    <x:row r="10">
      <x:c r="A10" s="53" t="str">
        <x:v>前台利润标准表</x:v>
      </x:c>
      <x:c r="B10" s="53" t="str">
        <x:v>店铺</x:v>
      </x:c>
      <x:c r="C10" s="53" t="str">
        <x:v>文本</x:v>
      </x:c>
      <x:c r="D10" s="53" t="str">
        <x:v>是</x:v>
      </x:c>
      <x:c r="E10" s="67" t="str">
        <x:v>标准店铺名</x:v>
      </x:c>
      <x:c r="F10" s="67" t="str">
        <x:v>不得仅留账户</x:v>
      </x:c>
      <x:c r="G10" s="53"/>
      <x:c r="H10" s="53"/>
    </x:row>
    <x:row r="11">
      <x:c r="A11" s="53" t="str">
        <x:v>前台利润标准表</x:v>
      </x:c>
      <x:c r="B11" s="53" t="str">
        <x:v>店铺2</x:v>
      </x:c>
      <x:c r="C11" s="53" t="str">
        <x:v>文本</x:v>
      </x:c>
      <x:c r="D11" s="53" t="str">
        <x:v>可选</x:v>
      </x:c>
      <x:c r="E11" s="67" t="str">
        <x:v>映射</x:v>
      </x:c>
      <x:c r="F11" s="67" t="str">
        <x:v>辅助展示字段</x:v>
      </x:c>
      <x:c r="G11" s="53"/>
      <x:c r="H11" s="53"/>
    </x:row>
    <x:row r="12">
      <x:c r="A12" s="53" t="str">
        <x:v>前台利润标准表</x:v>
      </x:c>
      <x:c r="B12" s="53" t="str">
        <x:v>运营</x:v>
      </x:c>
      <x:c r="C12" s="53" t="str">
        <x:v>文本</x:v>
      </x:c>
      <x:c r="D12" s="53" t="str">
        <x:v>是</x:v>
      </x:c>
      <x:c r="E12" s="67" t="str">
        <x:v>行级优先，映射补齐</x:v>
      </x:c>
      <x:c r="F12" s="67" t="str">
        <x:v>未解析不得进入结果</x:v>
      </x:c>
      <x:c r="G12" s="53"/>
      <x:c r="H12" s="53"/>
    </x:row>
    <x:row r="13">
      <x:c r="A13" s="53" t="str">
        <x:v>前台利润标准表</x:v>
      </x:c>
      <x:c r="B13" s="53" t="str">
        <x:v>单量</x:v>
      </x:c>
      <x:c r="C13" s="53" t="str">
        <x:v>数值</x:v>
      </x:c>
      <x:c r="D13" s="53" t="str">
        <x:v>是</x:v>
      </x:c>
      <x:c r="E13" s="67" t="str">
        <x:v>可为负；无发生填0</x:v>
      </x:c>
      <x:c r="F13" s="67" t="str">
        <x:v>业务指标</x:v>
      </x:c>
      <x:c r="G13" s="53"/>
      <x:c r="H13" s="53"/>
    </x:row>
    <x:row r="14">
      <x:c r="A14" s="53" t="str">
        <x:v>前台利润标准表</x:v>
      </x:c>
      <x:c r="B14" s="53" t="str">
        <x:v>GMV</x:v>
      </x:c>
      <x:c r="C14" s="53" t="str">
        <x:v>金额</x:v>
      </x:c>
      <x:c r="D14" s="53" t="str">
        <x:v>是</x:v>
      </x:c>
      <x:c r="E14" s="67" t="str">
        <x:v>保留到分</x:v>
      </x:c>
      <x:c r="F14" s="67" t="str">
        <x:v>付费占比分母</x:v>
      </x:c>
      <x:c r="G14" s="53"/>
      <x:c r="H14" s="53"/>
    </x:row>
    <x:row r="15">
      <x:c r="A15" s="53" t="str">
        <x:v>前台利润标准表</x:v>
      </x:c>
      <x:c r="B15" s="53" t="str">
        <x:v>补单金额</x:v>
      </x:c>
      <x:c r="C15" s="53" t="str">
        <x:v>金额</x:v>
      </x:c>
      <x:c r="D15" s="53" t="str">
        <x:v>是</x:v>
      </x:c>
      <x:c r="E15" s="67" t="str">
        <x:v>无发生填0</x:v>
      </x:c>
      <x:c r="F15" s="67" t="str">
        <x:v>利润扣减项</x:v>
      </x:c>
      <x:c r="G15" s="53"/>
      <x:c r="H15" s="53"/>
    </x:row>
    <x:row r="16">
      <x:c r="A16" s="53" t="str">
        <x:v>前台利润标准表</x:v>
      </x:c>
      <x:c r="B16" s="53" t="str">
        <x:v>补单产品成本</x:v>
      </x:c>
      <x:c r="C16" s="53" t="str">
        <x:v>金额</x:v>
      </x:c>
      <x:c r="D16" s="53" t="str">
        <x:v>是</x:v>
      </x:c>
      <x:c r="E16" s="67" t="str">
        <x:v>无发生填0</x:v>
      </x:c>
      <x:c r="F16" s="67" t="str">
        <x:v>利润加回项</x:v>
      </x:c>
      <x:c r="G16" s="53"/>
      <x:c r="H16" s="53"/>
    </x:row>
    <x:row r="17">
      <x:c r="A17" s="53" t="str">
        <x:v>前台利润标准表</x:v>
      </x:c>
      <x:c r="B17" s="53" t="str">
        <x:v>补单单量</x:v>
      </x:c>
      <x:c r="C17" s="53" t="str">
        <x:v>数值</x:v>
      </x:c>
      <x:c r="D17" s="53" t="str">
        <x:v>是</x:v>
      </x:c>
      <x:c r="E17" s="67" t="str">
        <x:v>无发生填0</x:v>
      </x:c>
      <x:c r="F17" s="67" t="str">
        <x:v>业务指标</x:v>
      </x:c>
      <x:c r="G17" s="53"/>
      <x:c r="H17" s="53"/>
    </x:row>
    <x:row r="18">
      <x:c r="A18" s="53" t="str">
        <x:v>前台利润标准表</x:v>
      </x:c>
      <x:c r="B18" s="53" t="str">
        <x:v>产品成本</x:v>
      </x:c>
      <x:c r="C18" s="53" t="str">
        <x:v>金额</x:v>
      </x:c>
      <x:c r="D18" s="53" t="str">
        <x:v>是</x:v>
      </x:c>
      <x:c r="E18" s="67" t="str">
        <x:v>总额；无发生填0</x:v>
      </x:c>
      <x:c r="F18" s="67" t="str">
        <x:v>利润扣减项</x:v>
      </x:c>
      <x:c r="G18" s="53"/>
      <x:c r="H18" s="53"/>
    </x:row>
    <x:row r="19">
      <x:c r="A19" s="53" t="str">
        <x:v>前台利润标准表</x:v>
      </x:c>
      <x:c r="B19" s="53" t="str">
        <x:v>出货货值</x:v>
      </x:c>
      <x:c r="C19" s="53" t="str">
        <x:v>金额</x:v>
      </x:c>
      <x:c r="D19" s="53" t="str">
        <x:v>是</x:v>
      </x:c>
      <x:c r="E19" s="67" t="str">
        <x:v>保留到分</x:v>
      </x:c>
      <x:c r="F19" s="67" t="str">
        <x:v>利润起点</x:v>
      </x:c>
      <x:c r="G19" s="53"/>
      <x:c r="H19" s="53"/>
    </x:row>
    <x:row r="20">
      <x:c r="A20" s="53" t="str">
        <x:v>前台利润标准表</x:v>
      </x:c>
      <x:c r="B20" s="53" t="str">
        <x:v>平台扣点/毛保</x:v>
      </x:c>
      <x:c r="C20" s="53" t="str">
        <x:v>金额</x:v>
      </x:c>
      <x:c r="D20" s="53" t="str">
        <x:v>是</x:v>
      </x:c>
      <x:c r="E20" s="67" t="str">
        <x:v>按正式源的符号落表</x:v>
      </x:c>
      <x:c r="F20" s="67" t="str">
        <x:v>公式统一做减法；负数等价加回并告警</x:v>
      </x:c>
      <x:c r="G20" s="53"/>
      <x:c r="H20" s="53"/>
    </x:row>
    <x:row r="21">
      <x:c r="A21" s="53" t="str">
        <x:v>前台利润标准表</x:v>
      </x:c>
      <x:c r="B21" s="53" t="str">
        <x:v>税点</x:v>
      </x:c>
      <x:c r="C21" s="53" t="str">
        <x:v>金额</x:v>
      </x:c>
      <x:c r="D21" s="53" t="str">
        <x:v>是</x:v>
      </x:c>
      <x:c r="E21" s="67" t="str">
        <x:v>无发生填0</x:v>
      </x:c>
      <x:c r="F21" s="67" t="str">
        <x:v>利润扣减项</x:v>
      </x:c>
      <x:c r="G21" s="53"/>
      <x:c r="H21" s="53"/>
    </x:row>
    <x:row r="22">
      <x:c r="A22" s="53" t="str">
        <x:v>前台利润标准表</x:v>
      </x:c>
      <x:c r="B22" s="53" t="str">
        <x:v>财务成本</x:v>
      </x:c>
      <x:c r="C22" s="53" t="str">
        <x:v>金额</x:v>
      </x:c>
      <x:c r="D22" s="53" t="str">
        <x:v>是</x:v>
      </x:c>
      <x:c r="E22" s="67" t="str">
        <x:v>无发生填0</x:v>
      </x:c>
      <x:c r="F22" s="67" t="str">
        <x:v>利润扣减项</x:v>
      </x:c>
      <x:c r="G22" s="53"/>
      <x:c r="H22" s="53"/>
    </x:row>
    <x:row r="23">
      <x:c r="A23" s="53" t="str">
        <x:v>前台利润标准表</x:v>
      </x:c>
      <x:c r="B23" s="53" t="str">
        <x:v>运费</x:v>
      </x:c>
      <x:c r="C23" s="53" t="str">
        <x:v>金额</x:v>
      </x:c>
      <x:c r="D23" s="53" t="str">
        <x:v>是</x:v>
      </x:c>
      <x:c r="E23" s="67" t="str">
        <x:v>无发生填0</x:v>
      </x:c>
      <x:c r="F23" s="67" t="str">
        <x:v>利润扣减项</x:v>
      </x:c>
      <x:c r="G23" s="53"/>
      <x:c r="H23" s="53"/>
    </x:row>
    <x:row r="24">
      <x:c r="A24" s="53" t="str">
        <x:v>前台利润标准表</x:v>
      </x:c>
      <x:c r="B24" s="53" t="str">
        <x:v>佣金</x:v>
      </x:c>
      <x:c r="C24" s="53" t="str">
        <x:v>金额</x:v>
      </x:c>
      <x:c r="D24" s="53" t="str">
        <x:v>是</x:v>
      </x:c>
      <x:c r="E24" s="67" t="str">
        <x:v>无发生填0</x:v>
      </x:c>
      <x:c r="F24" s="67" t="str">
        <x:v>利润扣减项</x:v>
      </x:c>
      <x:c r="G24" s="53"/>
      <x:c r="H24" s="53"/>
    </x:row>
    <x:row r="25">
      <x:c r="A25" s="53" t="str">
        <x:v>前台利润标准表</x:v>
      </x:c>
      <x:c r="B25" s="53" t="str">
        <x:v>推广费</x:v>
      </x:c>
      <x:c r="C25" s="53" t="str">
        <x:v>金额</x:v>
      </x:c>
      <x:c r="D25" s="53" t="str">
        <x:v>是</x:v>
      </x:c>
      <x:c r="E25" s="67" t="str">
        <x:v>孤儿推广也保留</x:v>
      </x:c>
      <x:c r="F25" s="67" t="str">
        <x:v>利润扣减项</x:v>
      </x:c>
      <x:c r="G25" s="53"/>
      <x:c r="H25" s="53"/>
    </x:row>
    <x:row r="26">
      <x:c r="A26" s="53" t="str">
        <x:v>前台利润标准表</x:v>
      </x:c>
      <x:c r="B26" s="53" t="str">
        <x:v>真实营业额</x:v>
      </x:c>
      <x:c r="C26" s="53" t="str">
        <x:v>公式金额</x:v>
      </x:c>
      <x:c r="D26" s="53" t="str">
        <x:v>公式</x:v>
      </x:c>
      <x:c r="E26" s="67" t="str">
        <x:v>GMV-补单金额</x:v>
      </x:c>
      <x:c r="F26" s="67" t="str">
        <x:v>不可手填</x:v>
      </x:c>
      <x:c r="G26" s="53"/>
      <x:c r="H26" s="53"/>
    </x:row>
    <x:row r="27">
      <x:c r="A27" s="53" t="str">
        <x:v>前台利润标准表</x:v>
      </x:c>
      <x:c r="B27" s="53" t="str">
        <x:v>前台利润</x:v>
      </x:c>
      <x:c r="C27" s="53" t="str">
        <x:v>公式金额</x:v>
      </x:c>
      <x:c r="D27" s="53" t="str">
        <x:v>公式</x:v>
      </x:c>
      <x:c r="E27" s="67" t="str">
        <x:v>统一利润公式</x:v>
      </x:c>
      <x:c r="F27" s="67" t="str">
        <x:v>不可手填</x:v>
      </x:c>
      <x:c r="G27" s="53"/>
      <x:c r="H27" s="53"/>
    </x:row>
    <x:row r="28">
      <x:c r="A28" s="53" t="str">
        <x:v>前台利润标准表</x:v>
      </x:c>
      <x:c r="B28" s="53" t="str">
        <x:v>付费占比</x:v>
      </x:c>
      <x:c r="C28" s="53" t="str">
        <x:v>公式比例</x:v>
      </x:c>
      <x:c r="D28" s="53" t="str">
        <x:v>公式</x:v>
      </x:c>
      <x:c r="E28" s="67" t="str">
        <x:v>推广费/GMV；GMV=0返回0</x:v>
      </x:c>
      <x:c r="F28" s="67" t="str">
        <x:v>不可手填</x:v>
      </x:c>
      <x:c r="G28" s="53"/>
      <x:c r="H28" s="53"/>
    </x:row>
    <x:row r="29">
      <x:c r="A29" s="53" t="str">
        <x:v>前台利润标准表</x:v>
      </x:c>
      <x:c r="B29" s="53" t="str">
        <x:v>数据状态</x:v>
      </x:c>
      <x:c r="C29" s="53" t="str">
        <x:v>公式文本</x:v>
      </x:c>
      <x:c r="D29" s="53" t="str">
        <x:v>公式</x:v>
      </x:c>
      <x:c r="E29" s="67" t="str">
        <x:v>关键字段/类型/重复键检查</x:v>
      </x:c>
      <x:c r="F29" s="67" t="str">
        <x:v>不可手填</x:v>
      </x:c>
      <x:c r="G29" s="53"/>
      <x:c r="H29" s="53"/>
    </x:row>
    <x:row r="30">
      <x:c r="A30" s="53" t="str">
        <x:v>前台利润标准表</x:v>
      </x:c>
      <x:c r="B30" s="53" t="str">
        <x:v>来源文件</x:v>
      </x:c>
      <x:c r="C30" s="53" t="str">
        <x:v>文本</x:v>
      </x:c>
      <x:c r="D30" s="53" t="str">
        <x:v>可选</x:v>
      </x:c>
      <x:c r="E30" s="67" t="str">
        <x:v>文件名或URI</x:v>
      </x:c>
      <x:c r="F30" s="67" t="str">
        <x:v>追溯元数据</x:v>
      </x:c>
      <x:c r="G30" s="53"/>
      <x:c r="H30" s="53"/>
    </x:row>
    <x:row r="31">
      <x:c r="A31" s="53" t="str">
        <x:v>前台利润标准表</x:v>
      </x:c>
      <x:c r="B31" s="53" t="str">
        <x:v>来源批次</x:v>
      </x:c>
      <x:c r="C31" s="53" t="str">
        <x:v>文本ID</x:v>
      </x:c>
      <x:c r="D31" s="53" t="str">
        <x:v>可选</x:v>
      </x:c>
      <x:c r="E31" s="67" t="str">
        <x:v>不得科学计数</x:v>
      </x:c>
      <x:c r="F31" s="67" t="str">
        <x:v>追溯元数据</x:v>
      </x:c>
      <x:c r="G31" s="53"/>
      <x:c r="H31" s="53"/>
    </x:row>
    <x:row r="32">
      <x:c r="A32" s="53" t="str">
        <x:v>前台利润标准表</x:v>
      </x:c>
      <x:c r="B32" s="53" t="str">
        <x:v>备注</x:v>
      </x:c>
      <x:c r="C32" s="53" t="str">
        <x:v>文本</x:v>
      </x:c>
      <x:c r="D32" s="53" t="str">
        <x:v>可选</x:v>
      </x:c>
      <x:c r="E32" s="67" t="str">
        <x:v>简短说明</x:v>
      </x:c>
      <x:c r="F32" s="67" t="str">
        <x:v>异常或人工判断</x:v>
      </x:c>
      <x:c r="G32" s="53"/>
      <x:c r="H32" s="53"/>
    </x:row>
    <x:row r="33">
      <x:c r="A33" s="53" t="str">
        <x:v>经营明细接口</x:v>
      </x:c>
      <x:c r="B33" s="53" t="str">
        <x:v>source_record_id</x:v>
      </x:c>
      <x:c r="C33" s="53" t="str">
        <x:v>文本ID</x:v>
      </x:c>
      <x:c r="D33" s="53" t="str">
        <x:v>是</x:v>
      </x:c>
      <x:c r="E33" s="67" t="str">
        <x:v>唯一</x:v>
      </x:c>
      <x:c r="F33" s="67" t="str">
        <x:v>来源事实唯一键</x:v>
      </x:c>
      <x:c r="G33" s="53"/>
      <x:c r="H33" s="53"/>
    </x:row>
    <x:row r="34">
      <x:c r="A34" s="53" t="str">
        <x:v>经营明细接口</x:v>
      </x:c>
      <x:c r="B34" s="53" t="str">
        <x:v>日期/平台/业务模式/店铺</x:v>
      </x:c>
      <x:c r="C34" s="53" t="str">
        <x:v>混合</x:v>
      </x:c>
      <x:c r="D34" s="53" t="str">
        <x:v>是</x:v>
      </x:c>
      <x:c r="E34" s="67" t="str">
        <x:v>标准化</x:v>
      </x:c>
      <x:c r="F34" s="67" t="str">
        <x:v>最小业务维度</x:v>
      </x:c>
      <x:c r="G34" s="53"/>
      <x:c r="H34" s="53"/>
    </x:row>
    <x:row r="35">
      <x:c r="A35" s="53" t="str">
        <x:v>经营明细接口</x:v>
      </x:c>
      <x:c r="B35" s="53" t="str">
        <x:v>运营_源</x:v>
      </x:c>
      <x:c r="C35" s="53" t="str">
        <x:v>文本</x:v>
      </x:c>
      <x:c r="D35" s="53" t="str">
        <x:v>条件</x:v>
      </x:c>
      <x:c r="E35" s="67" t="str">
        <x:v>可由映射补齐</x:v>
      </x:c>
      <x:c r="F35" s="67" t="str">
        <x:v>进入结果前必须解析</x:v>
      </x:c>
      <x:c r="G35" s="53"/>
      <x:c r="H35" s="53"/>
    </x:row>
    <x:row r="36">
      <x:c r="A36" s="53" t="str">
        <x:v>经营明细接口</x:v>
      </x:c>
      <x:c r="B36" s="53" t="str">
        <x:v>SKU_商品ID</x:v>
      </x:c>
      <x:c r="C36" s="53" t="str">
        <x:v>文本ID</x:v>
      </x:c>
      <x:c r="D36" s="53" t="str">
        <x:v>是</x:v>
      </x:c>
      <x:c r="E36" s="67" t="str">
        <x:v>保留前导零和完整位数</x:v>
      </x:c>
      <x:c r="F36" s="67" t="str">
        <x:v>禁止科学计数损坏</x:v>
      </x:c>
      <x:c r="G36" s="53"/>
      <x:c r="H36" s="53"/>
    </x:row>
    <x:row r="37">
      <x:c r="A37" s="53" t="str">
        <x:v>经营明细接口</x:v>
      </x:c>
      <x:c r="B37" s="53" t="str">
        <x:v>出库数量</x:v>
      </x:c>
      <x:c r="C37" s="53" t="str">
        <x:v>数值</x:v>
      </x:c>
      <x:c r="D37" s="53" t="str">
        <x:v>是</x:v>
      </x:c>
      <x:c r="E37" s="67" t="str">
        <x:v>0排除；负数保留告警</x:v>
      </x:c>
      <x:c r="F37" s="67" t="str">
        <x:v>边界规则</x:v>
      </x:c>
      <x:c r="G37" s="53"/>
      <x:c r="H37" s="53"/>
    </x:row>
    <x:row r="38">
      <x:c r="A38" s="53" t="str">
        <x:v>经营明细接口</x:v>
      </x:c>
      <x:c r="B38" s="53" t="str">
        <x:v>单量/GMV/出货货值</x:v>
      </x:c>
      <x:c r="C38" s="53" t="str">
        <x:v>数值/金额</x:v>
      </x:c>
      <x:c r="D38" s="53" t="str">
        <x:v>是</x:v>
      </x:c>
      <x:c r="E38" s="67" t="str">
        <x:v>标准数值</x:v>
      </x:c>
      <x:c r="F38" s="67" t="str">
        <x:v>经营事实</x:v>
      </x:c>
      <x:c r="G38" s="53"/>
      <x:c r="H38" s="53"/>
    </x:row>
    <x:row r="39">
      <x:c r="A39" s="53" t="str">
        <x:v>经营明细接口</x:v>
      </x:c>
      <x:c r="B39" s="53" t="str">
        <x:v>产品成本/运费/扣点/税/财务/佣金</x:v>
      </x:c>
      <x:c r="C39" s="53" t="str">
        <x:v>金额</x:v>
      </x:c>
      <x:c r="D39" s="53" t="str">
        <x:v>是</x:v>
      </x:c>
      <x:c r="E39" s="67" t="str">
        <x:v>无发生填0</x:v>
      </x:c>
      <x:c r="F39" s="67" t="str">
        <x:v>经营侧利润组成</x:v>
      </x:c>
      <x:c r="G39" s="53"/>
      <x:c r="H39" s="53"/>
    </x:row>
    <x:row r="40">
      <x:c r="A40" s="53" t="str">
        <x:v>经营明细接口</x:v>
      </x:c>
      <x:c r="B40" s="53" t="str">
        <x:v>来源文件/工作表/行号</x:v>
      </x:c>
      <x:c r="C40" s="53" t="str">
        <x:v>文本</x:v>
      </x:c>
      <x:c r="D40" s="53" t="str">
        <x:v>是</x:v>
      </x:c>
      <x:c r="E40" s="67" t="str">
        <x:v>可追溯</x:v>
      </x:c>
      <x:c r="F40" s="67" t="str">
        <x:v>中台血缘</x:v>
      </x:c>
      <x:c r="G40" s="53"/>
      <x:c r="H40" s="53"/>
    </x:row>
    <x:row r="41">
      <x:c r="A41" s="53" t="str">
        <x:v>经营明细接口</x:v>
      </x:c>
      <x:c r="B41" s="53" t="str">
        <x:v>is_additive</x:v>
      </x:c>
      <x:c r="C41" s="53" t="str">
        <x:v>枚举</x:v>
      </x:c>
      <x:c r="D41" s="53" t="str">
        <x:v>是</x:v>
      </x:c>
      <x:c r="E41" s="67" t="str">
        <x:v>是/否</x:v>
      </x:c>
      <x:c r="F41" s="67" t="str">
        <x:v>镜像和缓存必须为否</x:v>
      </x:c>
      <x:c r="G41" s="53"/>
      <x:c r="H41" s="53"/>
    </x:row>
    <x:row r="42">
      <x:c r="A42" s="53" t="str">
        <x:v>费用事实接口</x:v>
      </x:c>
      <x:c r="B42" s="53" t="str">
        <x:v>fee_id</x:v>
      </x:c>
      <x:c r="C42" s="53" t="str">
        <x:v>文本ID</x:v>
      </x:c>
      <x:c r="D42" s="53" t="str">
        <x:v>是</x:v>
      </x:c>
      <x:c r="E42" s="67" t="str">
        <x:v>唯一</x:v>
      </x:c>
      <x:c r="F42" s="67" t="str">
        <x:v>费用事实唯一键</x:v>
      </x:c>
      <x:c r="G42" s="53"/>
      <x:c r="H42" s="53"/>
    </x:row>
    <x:row r="43">
      <x:c r="A43" s="53" t="str">
        <x:v>费用事实接口</x:v>
      </x:c>
      <x:c r="B43" s="53" t="str">
        <x:v>日期/平台/业务模式</x:v>
      </x:c>
      <x:c r="C43" s="53" t="str">
        <x:v>混合</x:v>
      </x:c>
      <x:c r="D43" s="53" t="str">
        <x:v>是</x:v>
      </x:c>
      <x:c r="E43" s="67" t="str">
        <x:v>标准化</x:v>
      </x:c>
      <x:c r="F43" s="67" t="str">
        <x:v>最小业务维度</x:v>
      </x:c>
      <x:c r="G43" s="53"/>
      <x:c r="H43" s="53"/>
    </x:row>
    <x:row r="44">
      <x:c r="A44" s="53" t="str">
        <x:v>费用事实接口</x:v>
      </x:c>
      <x:c r="B44" s="53" t="str">
        <x:v>费用类型</x:v>
      </x:c>
      <x:c r="C44" s="53" t="str">
        <x:v>枚举</x:v>
      </x:c>
      <x:c r="D44" s="53" t="str">
        <x:v>是</x:v>
      </x:c>
      <x:c r="E44" s="67" t="str">
        <x:v>推广费/补单金额/补单产品成本等</x:v>
      </x:c>
      <x:c r="F44" s="67" t="str">
        <x:v>未知类型阻塞</x:v>
      </x:c>
      <x:c r="G44" s="53"/>
      <x:c r="H44" s="53"/>
    </x:row>
    <x:row r="45">
      <x:c r="A45" s="53" t="str">
        <x:v>费用事实接口</x:v>
      </x:c>
      <x:c r="B45" s="53" t="str">
        <x:v>账户/店铺</x:v>
      </x:c>
      <x:c r="C45" s="53" t="str">
        <x:v>文本</x:v>
      </x:c>
      <x:c r="D45" s="53" t="str">
        <x:v>条件</x:v>
      </x:c>
      <x:c r="E45" s="67" t="str">
        <x:v>至少一个可解析</x:v>
      </x:c>
      <x:c r="F45" s="67" t="str">
        <x:v>最终必须得到标准店铺</x:v>
      </x:c>
      <x:c r="G45" s="53"/>
      <x:c r="H45" s="53"/>
    </x:row>
    <x:row r="46">
      <x:c r="A46" s="53" t="str">
        <x:v>费用事实接口</x:v>
      </x:c>
      <x:c r="B46" s="53" t="str">
        <x:v>运营</x:v>
      </x:c>
      <x:c r="C46" s="53" t="str">
        <x:v>文本</x:v>
      </x:c>
      <x:c r="D46" s="53" t="str">
        <x:v>条件</x:v>
      </x:c>
      <x:c r="E46" s="67" t="str">
        <x:v>行级或映射</x:v>
      </x:c>
      <x:c r="F46" s="67" t="str">
        <x:v>进入结果前必须解析</x:v>
      </x:c>
      <x:c r="G46" s="53"/>
      <x:c r="H46" s="53"/>
    </x:row>
    <x:row r="47">
      <x:c r="A47" s="53" t="str">
        <x:v>费用事实接口</x:v>
      </x:c>
      <x:c r="B47" s="53" t="str">
        <x:v>SKU_商品ID</x:v>
      </x:c>
      <x:c r="C47" s="53" t="str">
        <x:v>文本ID</x:v>
      </x:c>
      <x:c r="D47" s="53" t="str">
        <x:v>条件</x:v>
      </x:c>
      <x:c r="E47" s="67" t="str">
        <x:v>费用有SKU时必填</x:v>
      </x:c>
      <x:c r="F47" s="67" t="str">
        <x:v>推广可按账户/店铺粒度</x:v>
      </x:c>
      <x:c r="G47" s="53"/>
      <x:c r="H47" s="53"/>
    </x:row>
    <x:row r="48">
      <x:c r="A48" s="53" t="str">
        <x:v>费用事实接口</x:v>
      </x:c>
      <x:c r="B48" s="53" t="str">
        <x:v>金额</x:v>
      </x:c>
      <x:c r="C48" s="53" t="str">
        <x:v>金额</x:v>
      </x:c>
      <x:c r="D48" s="53" t="str">
        <x:v>是</x:v>
      </x:c>
      <x:c r="E48" s="67" t="str">
        <x:v>保留到分</x:v>
      </x:c>
      <x:c r="F48" s="67" t="str">
        <x:v>可加总事实</x:v>
      </x:c>
      <x:c r="G48" s="53"/>
      <x:c r="H48" s="53"/>
    </x:row>
    <x:row r="49">
      <x:c r="A49" s="53" t="str">
        <x:v>费用事实接口</x:v>
      </x:c>
      <x:c r="B49" s="53" t="str">
        <x:v>数量</x:v>
      </x:c>
      <x:c r="C49" s="53" t="str">
        <x:v>数值</x:v>
      </x:c>
      <x:c r="D49" s="53" t="str">
        <x:v>条件</x:v>
      </x:c>
      <x:c r="E49" s="67" t="str">
        <x:v>补单数量等场景</x:v>
      </x:c>
      <x:c r="F49" s="67" t="str">
        <x:v>无数量含义可空</x:v>
      </x:c>
      <x:c r="G49" s="53"/>
      <x:c r="H49" s="53"/>
    </x:row>
    <x:row r="50">
      <x:c r="A50" s="53" t="str">
        <x:v>费用事实接口</x:v>
      </x:c>
      <x:c r="B50" s="53" t="str">
        <x:v>is_additive</x:v>
      </x:c>
      <x:c r="C50" s="53" t="str">
        <x:v>枚举</x:v>
      </x:c>
      <x:c r="D50" s="53" t="str">
        <x:v>是</x:v>
      </x:c>
      <x:c r="E50" s="67" t="str">
        <x:v>是/否</x:v>
      </x:c>
      <x:c r="F50" s="67" t="str">
        <x:v>非加总镜像计入额必须为0</x:v>
      </x:c>
      <x:c r="G50" s="53"/>
      <x:c r="H50" s="53"/>
    </x:row>
    <x:row r="51">
      <x:c r="A51" s="53" t="str">
        <x:v>费用事实接口</x:v>
      </x:c>
      <x:c r="B51" s="53" t="str">
        <x:v>来源文件/工作表/行号</x:v>
      </x:c>
      <x:c r="C51" s="53" t="str">
        <x:v>文本</x:v>
      </x:c>
      <x:c r="D51" s="53" t="str">
        <x:v>是</x:v>
      </x:c>
      <x:c r="E51" s="67" t="str">
        <x:v>可追溯</x:v>
      </x:c>
      <x:c r="F51" s="67" t="str">
        <x:v>中台血缘</x:v>
      </x:c>
      <x:c r="G51" s="53"/>
      <x:c r="H51" s="53"/>
    </x:row>
    <x:row r="52">
      <x:c r="A52" s="53" t="str">
        <x:v>映射表</x:v>
      </x:c>
      <x:c r="B52" s="53" t="str">
        <x:v>mapping_id</x:v>
      </x:c>
      <x:c r="C52" s="53" t="str">
        <x:v>文本ID</x:v>
      </x:c>
      <x:c r="D52" s="53" t="str">
        <x:v>是</x:v>
      </x:c>
      <x:c r="E52" s="67" t="str">
        <x:v>唯一</x:v>
      </x:c>
      <x:c r="F52" s="67" t="str">
        <x:v>映射记录唯一键</x:v>
      </x:c>
      <x:c r="G52" s="53"/>
      <x:c r="H52" s="53"/>
    </x:row>
    <x:row r="53">
      <x:c r="A53" s="53" t="str">
        <x:v>映射表</x:v>
      </x:c>
      <x:c r="B53" s="53" t="str">
        <x:v>平台/业务模式</x:v>
      </x:c>
      <x:c r="C53" s="53" t="str">
        <x:v>文本</x:v>
      </x:c>
      <x:c r="D53" s="53" t="str">
        <x:v>是</x:v>
      </x:c>
      <x:c r="E53" s="67" t="str">
        <x:v>标准枚举</x:v>
      </x:c>
      <x:c r="F53" s="67" t="str">
        <x:v>映射限定范围</x:v>
      </x:c>
      <x:c r="G53" s="53"/>
      <x:c r="H53" s="53"/>
    </x:row>
    <x:row r="54">
      <x:c r="A54" s="53" t="str">
        <x:v>映射表</x:v>
      </x:c>
      <x:c r="B54" s="53" t="str">
        <x:v>账户/源店铺/SKU</x:v>
      </x:c>
      <x:c r="C54" s="53" t="str">
        <x:v>文本ID</x:v>
      </x:c>
      <x:c r="D54" s="53" t="str">
        <x:v>条件</x:v>
      </x:c>
      <x:c r="E54" s="67" t="str">
        <x:v>按映射类型填写</x:v>
      </x:c>
      <x:c r="F54" s="67" t="str">
        <x:v>源键</x:v>
      </x:c>
      <x:c r="G54" s="53"/>
      <x:c r="H54" s="53"/>
    </x:row>
    <x:row r="55">
      <x:c r="A55" s="53" t="str">
        <x:v>映射表</x:v>
      </x:c>
      <x:c r="B55" s="53" t="str">
        <x:v>标准店铺/运营</x:v>
      </x:c>
      <x:c r="C55" s="53" t="str">
        <x:v>文本</x:v>
      </x:c>
      <x:c r="D55" s="53" t="str">
        <x:v>条件</x:v>
      </x:c>
      <x:c r="E55" s="67" t="str">
        <x:v>计算前必须解析</x:v>
      </x:c>
      <x:c r="F55" s="67" t="str">
        <x:v>一键多值不得自动分摊</x:v>
      </x:c>
      <x:c r="G55" s="53"/>
      <x:c r="H55" s="53"/>
    </x:row>
    <x:row r="56">
      <x:c r="A56" s="53" t="str">
        <x:v>映射表</x:v>
      </x:c>
      <x:c r="B56" s="53" t="str">
        <x:v>组/店铺2</x:v>
      </x:c>
      <x:c r="C56" s="53" t="str">
        <x:v>文本</x:v>
      </x:c>
      <x:c r="D56" s="53" t="str">
        <x:v>可选</x:v>
      </x:c>
      <x:c r="E56" s="67" t="str">
        <x:v>增强字段</x:v>
      </x:c>
      <x:c r="F56" s="67" t="str">
        <x:v>不影响利润公式</x:v>
      </x:c>
      <x:c r="G56" s="53"/>
      <x:c r="H56" s="53"/>
    </x:row>
    <x:row r="57">
      <x:c r="A57" s="53" t="str">
        <x:v>映射表</x:v>
      </x:c>
      <x:c r="B57" s="53" t="str">
        <x:v>单位成本</x:v>
      </x:c>
      <x:c r="C57" s="53" t="str">
        <x:v>金额</x:v>
      </x:c>
      <x:c r="D57" s="53" t="str">
        <x:v>可选</x:v>
      </x:c>
      <x:c r="E57" s="67" t="str">
        <x:v>有行级成本总额时不阻塞</x:v>
      </x:c>
      <x:c r="F57" s="67" t="str">
        <x:v>成本增强</x:v>
      </x:c>
      <x:c r="G57" s="53"/>
      <x:c r="H57" s="53"/>
    </x:row>
    <x:row r="58">
      <x:c r="A58" s="53" t="str">
        <x:v>映射表</x:v>
      </x:c>
      <x:c r="B58" s="53" t="str">
        <x:v>生效开始/结束</x:v>
      </x:c>
      <x:c r="C58" s="53" t="str">
        <x:v>日期</x:v>
      </x:c>
      <x:c r="D58" s="53" t="str">
        <x:v>可选</x:v>
      </x:c>
      <x:c r="E58" s="67" t="str">
        <x:v>历史治理增强</x:v>
      </x:c>
      <x:c r="F58" s="67" t="str">
        <x:v>缺失时告警</x:v>
      </x:c>
      <x:c r="G58" s="53"/>
      <x:c r="H58" s="53"/>
    </x:row>
    <x:row r="59">
      <x:c r="A59" s="53" t="str">
        <x:v>映射表</x:v>
      </x:c>
      <x:c r="B59" s="53" t="str">
        <x:v>优先级/状态/来源</x:v>
      </x:c>
      <x:c r="C59" s="53" t="str">
        <x:v>混合</x:v>
      </x:c>
      <x:c r="D59" s="53" t="str">
        <x:v>是</x:v>
      </x:c>
      <x:c r="E59" s="67" t="str">
        <x:v>可审计</x:v>
      </x:c>
      <x:c r="F59" s="67" t="str">
        <x:v>冲突处理与血缘</x:v>
      </x:c>
      <x:c r="G59" s="53"/>
      <x:c r="H59" s="53"/>
    </x:row>
  </x:sheetData>
  <x:mergeCells>
    <x:mergeCell ref="A1:H1"/>
    <x:mergeCell ref="A2:H2"/>
  </x:mergeCells>
  <x:conditionalFormatting sqref="D5:D59">
    <x:cfRule type="containsText" dxfId="15" priority="1" operator="containsText" text="通过"/>
    <x:cfRule type="containsText" dxfId="16" priority="2" operator="containsText" text="待"/>
    <x:cfRule type="containsText" dxfId="17" priority="3" operator="containsText" text="阻塞"/>
    <x:cfRule type="containsText" dxfId="18" priority="4" operator="containsText" text="失败"/>
    <x:cfRule type="containsText" dxfId="19" priority="5" operator="containsText" text="告警"/>
  </x:conditionalFormatting>
  <x:pageMargins left="0.7" right="0.7" top="0.75" bottom="0.75" header="0.3" footer="0.3"/>
  <x:tableParts count="1">
    <x:tablePart xmlns:r="http://schemas.openxmlformats.org/officeDocument/2006/relationships" r:id="Rf8e973e561c948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3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6" hidden="0" customWidth="1"/>
  </x:cols>
  <x:sheetData>
    <x:row r="1" ht="42" customHeight="1">
      <x:c r="A1" s="4" t="str">
        <x:v>规则与验收｜什么必须通过，什么可以先告警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8" t="str">
        <x:v>MVP 原则：不因复杂增强字段阻塞模板，但绝不跳过会改变利润、归属或可追溯性的校验。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</x:row>
    <x:row r="4" ht="26" customHeight="1">
      <x:c r="A4" s="11" t="str">
        <x:v>公式口径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 ht="34" customHeight="1">
      <x:c r="A5" s="78" t="str">
        <x:v>真实营业额</x:v>
      </x:c>
      <x:c r="B5" s="30" t="str">
        <x:v>GMV - 补单金额</x:v>
      </x:c>
      <x:c r="C5" s="79" t="str">
        <x:v>补单后的经营金额</x:v>
      </x:c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</x:row>
    <x:row r="6" ht="58" customHeight="1">
      <x:c r="A6" s="78" t="str">
        <x:v>前台利润</x:v>
      </x:c>
      <x:c r="B6" s="30" t="str">
        <x:v>出货货值 - 产品成本 - 运费 - 补单金额 - 平台扣点 - 税点 - 财务成本 - 佣金 - 推广费 + 补单产品成本</x:v>
      </x:c>
      <x:c r="C6" s="79" t="str">
        <x:v>所有扣减项和加回项都显式列出</x:v>
      </x:c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</x:row>
    <x:row r="7" ht="34" customHeight="1">
      <x:c r="A7" s="78" t="str">
        <x:v>付费占比</x:v>
      </x:c>
      <x:c r="B7" s="30" t="str">
        <x:v>推广费 / GMV；GMV=0 时返回0</x:v>
      </x:c>
      <x:c r="C7" s="79" t="str">
        <x:v>规则固定，避免除零错误</x:v>
      </x:c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</x:row>
    <x:row r="10" ht="34" customHeight="1">
      <x:c r="A10" s="44" t="str">
        <x:v>级别</x:v>
      </x:c>
      <x:c r="B10" s="45" t="str">
        <x:v>规则</x:v>
      </x:c>
      <x:c r="C10" s="45" t="str">
        <x:v>通过标准</x:v>
      </x:c>
      <x:c r="D10" s="45" t="str">
        <x:v>修复位置</x:v>
      </x:c>
      <x:c r="E10" s="46" t="str">
        <x:v>说明</x:v>
      </x:c>
      <x:c r="F10" s="53"/>
      <x:c r="G10" s="53"/>
      <x:c r="H10" s="53"/>
      <x:c r="I10" s="53"/>
      <x:c r="J10" s="53"/>
      <x:c r="K10" s="53"/>
      <x:c r="L10" s="53"/>
      <x:c r="M10" s="53"/>
      <x:c r="N10" s="53"/>
    </x:row>
    <x:row r="11" ht="30" customHeight="1">
      <x:c r="A11" s="53" t="str">
        <x:v>阻塞</x:v>
      </x:c>
      <x:c r="B11" s="67" t="str">
        <x:v>日期无法标准化、店铺缺失、业务模式非法</x:v>
      </x:c>
      <x:c r="C11" s="67" t="str">
        <x:v>0条</x:v>
      </x:c>
      <x:c r="D11" s="53" t="str">
        <x:v>源适配/标准化</x:v>
      </x:c>
      <x:c r="E11" s="67" t="str">
        <x:v>结果键不可靠</x:v>
      </x:c>
      <x:c r="F11" s="53"/>
      <x:c r="G11" s="53"/>
      <x:c r="H11" s="53"/>
      <x:c r="I11" s="53"/>
      <x:c r="J11" s="53"/>
      <x:c r="K11" s="53"/>
      <x:c r="L11" s="53"/>
      <x:c r="M11" s="53"/>
      <x:c r="N11" s="53"/>
    </x:row>
    <x:row r="12" ht="30" customHeight="1">
      <x:c r="A12" s="53" t="str">
        <x:v>阻塞</x:v>
      </x:c>
      <x:c r="B12" s="67" t="str">
        <x:v>进入计算的运营仍未解析，或一键多运营未消歧</x:v>
      </x:c>
      <x:c r="C12" s="67" t="str">
        <x:v>0条</x:v>
      </x:c>
      <x:c r="D12" s="53" t="str">
        <x:v>SKU运营映射</x:v>
      </x:c>
      <x:c r="E12" s="67" t="str">
        <x:v>禁止自动分摊</x:v>
      </x:c>
      <x:c r="F12" s="53"/>
      <x:c r="G12" s="53"/>
      <x:c r="H12" s="53"/>
      <x:c r="I12" s="53"/>
      <x:c r="J12" s="53"/>
      <x:c r="K12" s="53"/>
      <x:c r="L12" s="53"/>
      <x:c r="M12" s="53"/>
      <x:c r="N12" s="53"/>
    </x:row>
    <x:row r="13" ht="30" customHeight="1">
      <x:c r="A13" s="53" t="str">
        <x:v>阻塞</x:v>
      </x:c>
      <x:c r="B13" s="67" t="str">
        <x:v>数量/金额为空或非数值；业务零未显式填0</x:v>
      </x:c>
      <x:c r="C13" s="67" t="str">
        <x:v>0条</x:v>
      </x:c>
      <x:c r="D13" s="53" t="str">
        <x:v>经营/费用接口</x:v>
      </x:c>
      <x:c r="E13" s="67" t="str">
        <x:v>空值不是0</x:v>
      </x:c>
      <x:c r="F13" s="53"/>
      <x:c r="G13" s="53"/>
      <x:c r="H13" s="53"/>
      <x:c r="I13" s="53"/>
      <x:c r="J13" s="53"/>
      <x:c r="K13" s="53"/>
      <x:c r="L13" s="53"/>
      <x:c r="M13" s="53"/>
      <x:c r="N13" s="53"/>
    </x:row>
    <x:row r="14" ht="30" customHeight="1">
      <x:c r="A14" s="53" t="str">
        <x:v>阻塞</x:v>
      </x:c>
      <x:c r="B14" s="67" t="str">
        <x:v>record_id / fee_id 非预期重复</x:v>
      </x:c>
      <x:c r="C14" s="67" t="str">
        <x:v>0条</x:v>
      </x:c>
      <x:c r="D14" s="53" t="str">
        <x:v>来源唯一键</x:v>
      </x:c>
      <x:c r="E14" s="67" t="str">
        <x:v>防止重复计入</x:v>
      </x:c>
      <x:c r="F14" s="53"/>
      <x:c r="G14" s="53"/>
      <x:c r="H14" s="53"/>
      <x:c r="I14" s="53"/>
      <x:c r="J14" s="53"/>
      <x:c r="K14" s="53"/>
      <x:c r="L14" s="53"/>
      <x:c r="M14" s="53"/>
      <x:c r="N14" s="53"/>
    </x:row>
    <x:row r="15" ht="30" customHeight="1">
      <x:c r="A15" s="53" t="str">
        <x:v>阻塞</x:v>
      </x:c>
      <x:c r="B15" s="67" t="str">
        <x:v>可加总费用未进入结果，或非加总镜像被计入</x:v>
      </x:c>
      <x:c r="C15" s="67" t="str">
        <x:v>逐类型差额≤0.01；镜像计入额=0</x:v>
      </x:c>
      <x:c r="D15" s="53" t="str">
        <x:v>费用事实接口</x:v>
      </x:c>
      <x:c r="E15" s="67" t="str">
        <x:v>推广孤儿必须100%保留</x:v>
      </x:c>
      <x:c r="F15" s="53"/>
      <x:c r="G15" s="53"/>
      <x:c r="H15" s="53"/>
      <x:c r="I15" s="53"/>
      <x:c r="J15" s="53"/>
      <x:c r="K15" s="53"/>
      <x:c r="L15" s="53"/>
      <x:c r="M15" s="53"/>
      <x:c r="N15" s="53"/>
    </x:row>
    <x:row r="16" ht="30" customHeight="1">
      <x:c r="A16" s="53" t="str">
        <x:v>阻塞</x:v>
      </x:c>
      <x:c r="B16" s="67" t="str">
        <x:v>SKU/ID 被科学计数或前导零丢失</x:v>
      </x:c>
      <x:c r="C16" s="67" t="str">
        <x:v>0条</x:v>
      </x:c>
      <x:c r="D16" s="53" t="str">
        <x:v>文本化</x:v>
      </x:c>
      <x:c r="E16" s="67" t="str">
        <x:v>所有标识符按文本保存</x:v>
      </x:c>
      <x:c r="F16" s="53"/>
      <x:c r="G16" s="53"/>
      <x:c r="H16" s="53"/>
      <x:c r="I16" s="53"/>
      <x:c r="J16" s="53"/>
      <x:c r="K16" s="53"/>
      <x:c r="L16" s="53"/>
      <x:c r="M16" s="53"/>
      <x:c r="N16" s="53"/>
    </x:row>
    <x:row r="17" ht="30" customHeight="1">
      <x:c r="A17" s="53" t="str">
        <x:v>阻塞</x:v>
      </x:c>
      <x:c r="B17" s="67" t="str">
        <x:v>利润公式错误或逐键公式残差超0.01</x:v>
      </x:c>
      <x:c r="C17" s="67" t="str">
        <x:v>0条</x:v>
      </x:c>
      <x:c r="D17" s="53" t="str">
        <x:v>前台利润标准表</x:v>
      </x:c>
      <x:c r="E17" s="67" t="str">
        <x:v>公式错误为0</x:v>
      </x:c>
      <x:c r="F17" s="53"/>
      <x:c r="G17" s="53"/>
      <x:c r="H17" s="53"/>
      <x:c r="I17" s="53"/>
      <x:c r="J17" s="53"/>
      <x:c r="K17" s="53"/>
      <x:c r="L17" s="53"/>
      <x:c r="M17" s="53"/>
      <x:c r="N17" s="53"/>
    </x:row>
    <x:row r="18" ht="30" customHeight="1">
      <x:c r="A18" s="53" t="str">
        <x:v>告警</x:v>
      </x:c>
      <x:c r="B18" s="67" t="str">
        <x:v>负出库、退款、负扣点或负费用</x:v>
      </x:c>
      <x:c r="C18" s="67" t="str">
        <x:v>保留并列异常</x:v>
      </x:c>
      <x:c r="D18" s="53" t="str">
        <x:v>人工复核</x:v>
      </x:c>
      <x:c r="E18" s="67" t="str">
        <x:v>不静默删除</x:v>
      </x:c>
      <x:c r="F18" s="53"/>
      <x:c r="G18" s="53"/>
      <x:c r="H18" s="53"/>
      <x:c r="I18" s="53"/>
      <x:c r="J18" s="53"/>
      <x:c r="K18" s="53"/>
      <x:c r="L18" s="53"/>
      <x:c r="M18" s="53"/>
      <x:c r="N18" s="53"/>
    </x:row>
    <x:row r="19" ht="30" customHeight="1">
      <x:c r="A19" s="53" t="str">
        <x:v>告警</x:v>
      </x:c>
      <x:c r="B19" s="67" t="str">
        <x:v>有推广无出库</x:v>
      </x:c>
      <x:c r="C19" s="67" t="str">
        <x:v>保留</x:v>
      </x:c>
      <x:c r="D19" s="53" t="str">
        <x:v>无需修复</x:v>
      </x:c>
      <x:c r="E19" s="67" t="str">
        <x:v>允许负利润</x:v>
      </x:c>
      <x:c r="F19" s="53"/>
      <x:c r="G19" s="53"/>
      <x:c r="H19" s="53"/>
      <x:c r="I19" s="53"/>
      <x:c r="J19" s="53"/>
      <x:c r="K19" s="53"/>
      <x:c r="L19" s="53"/>
      <x:c r="M19" s="53"/>
      <x:c r="N19" s="53"/>
    </x:row>
    <x:row r="20" ht="30" customHeight="1">
      <x:c r="A20" s="53" t="str">
        <x:v>告警</x:v>
      </x:c>
      <x:c r="B20" s="67" t="str">
        <x:v>组、店铺2、账户、生效期缺失</x:v>
      </x:c>
      <x:c r="C20" s="67" t="str">
        <x:v>允许</x:v>
      </x:c>
      <x:c r="D20" s="53" t="str">
        <x:v>后续治理</x:v>
      </x:c>
      <x:c r="E20" s="67" t="str">
        <x:v>行级店铺、运营、成本金额明确时不阻塞</x:v>
      </x:c>
      <x:c r="F20" s="53"/>
      <x:c r="G20" s="53"/>
      <x:c r="H20" s="53"/>
      <x:c r="I20" s="53"/>
      <x:c r="J20" s="53"/>
      <x:c r="K20" s="53"/>
      <x:c r="L20" s="53"/>
      <x:c r="M20" s="53"/>
      <x:c r="N20" s="53"/>
    </x:row>
    <x:row r="21" ht="30" customHeight="1">
      <x:c r="A21" s="53" t="str">
        <x:v>告警</x:v>
      </x:c>
      <x:c r="B21" s="67" t="str">
        <x:v>新增店铺/SKU或行级值与映射冲突</x:v>
      </x:c>
      <x:c r="C21" s="67" t="str">
        <x:v>列出并采用明确行级值</x:v>
      </x:c>
      <x:c r="D21" s="53" t="str">
        <x:v>映射治理</x:v>
      </x:c>
      <x:c r="E21" s="67" t="str">
        <x:v>不得静默归零</x:v>
      </x:c>
      <x:c r="F21" s="53"/>
      <x:c r="G21" s="53"/>
      <x:c r="H21" s="53"/>
      <x:c r="I21" s="53"/>
      <x:c r="J21" s="53"/>
      <x:c r="K21" s="53"/>
      <x:c r="L21" s="53"/>
      <x:c r="M21" s="53"/>
      <x:c r="N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</x:row>
    <x:row r="23" ht="26" customHeight="1">
      <x:c r="A23" s="21" t="str">
        <x:v>公式单元测试｜以下数字只用于测试公式，不是业务数据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</x:row>
    <x:row r="24" ht="34" customHeight="1">
      <x:c r="A24" s="44" t="str">
        <x:v>测试ID</x:v>
      </x:c>
      <x:c r="B24" s="45" t="str">
        <x:v>场景</x:v>
      </x:c>
      <x:c r="C24" s="45" t="str">
        <x:v>出货货值</x:v>
      </x:c>
      <x:c r="D24" s="45" t="str">
        <x:v>产品成本</x:v>
      </x:c>
      <x:c r="E24" s="45" t="str">
        <x:v>运费</x:v>
      </x:c>
      <x:c r="F24" s="45" t="str">
        <x:v>补单金额</x:v>
      </x:c>
      <x:c r="G24" s="45" t="str">
        <x:v>平台扣点</x:v>
      </x:c>
      <x:c r="H24" s="45" t="str">
        <x:v>税点</x:v>
      </x:c>
      <x:c r="I24" s="45" t="str">
        <x:v>财务成本</x:v>
      </x:c>
      <x:c r="J24" s="45" t="str">
        <x:v>佣金</x:v>
      </x:c>
      <x:c r="K24" s="45" t="str">
        <x:v>推广费</x:v>
      </x:c>
      <x:c r="L24" s="45" t="str">
        <x:v>补单产品成本</x:v>
      </x:c>
      <x:c r="M24" s="45" t="str">
        <x:v>公式结果</x:v>
      </x:c>
      <x:c r="N24" s="46" t="str">
        <x:v>期望/状态</x:v>
      </x:c>
    </x:row>
    <x:row r="25">
      <x:c r="A25" s="53" t="str">
        <x:v>UT_PROFIT</x:v>
      </x:c>
      <x:c r="B25" s="53" t="str">
        <x:v>完整利润公式</x:v>
      </x:c>
      <x:c r="C25" s="59" t="n">
        <x:v>1000</x:v>
      </x:c>
      <x:c r="D25" s="59" t="n">
        <x:v>200</x:v>
      </x:c>
      <x:c r="E25" s="59" t="n">
        <x:v>10</x:v>
      </x:c>
      <x:c r="F25" s="59" t="n">
        <x:v>50</x:v>
      </x:c>
      <x:c r="G25" s="59" t="n">
        <x:v>30</x:v>
      </x:c>
      <x:c r="H25" s="59" t="n">
        <x:v>20</x:v>
      </x:c>
      <x:c r="I25" s="59" t="n">
        <x:v>5</x:v>
      </x:c>
      <x:c r="J25" s="59" t="n">
        <x:v>8</x:v>
      </x:c>
      <x:c r="K25" s="59" t="n">
        <x:v>100</x:v>
      </x:c>
      <x:c r="L25" s="59" t="n">
        <x:v>15</x:v>
      </x:c>
      <x:c r="M25" s="59" t="n">
        <x:f>C25-D25-E25-F25-G25-H25-I25-J25-K25+L25</x:f>
        <x:v>592</x:v>
      </x:c>
      <x:c r="N25" s="53" t="str">
        <x:f>IF(ABS(M25-592)&lt;=0.000001,"通过","失败")</x:f>
        <x:v>通过</x:v>
      </x:c>
    </x:row>
    <x:row r="26">
      <x:c r="A26" s="53" t="str">
        <x:v>UT_PROMO_ORPHAN</x:v>
      </x:c>
      <x:c r="B26" s="53" t="str">
        <x:v>有推广无经营</x:v>
      </x:c>
      <x:c r="C26" s="59" t="n">
        <x:v>0</x:v>
      </x:c>
      <x:c r="D26" s="59" t="n">
        <x:v>0</x:v>
      </x:c>
      <x:c r="E26" s="59" t="n">
        <x:v>0</x:v>
      </x:c>
      <x:c r="F26" s="59" t="n">
        <x:v>0</x:v>
      </x:c>
      <x:c r="G26" s="59" t="n">
        <x:v>0</x:v>
      </x:c>
      <x:c r="H26" s="59" t="n">
        <x:v>0</x:v>
      </x:c>
      <x:c r="I26" s="59" t="n">
        <x:v>0</x:v>
      </x:c>
      <x:c r="J26" s="59" t="n">
        <x:v>0</x:v>
      </x:c>
      <x:c r="K26" s="59" t="n">
        <x:v>100</x:v>
      </x:c>
      <x:c r="L26" s="59" t="n">
        <x:v>0</x:v>
      </x:c>
      <x:c r="M26" s="59" t="n">
        <x:f>C26-D26-E26-F26-G26-H26-I26-J26-K26+L26</x:f>
        <x:v>-100</x:v>
      </x:c>
      <x:c r="N26" s="53" t="str">
        <x:f>IF(ABS(M26+100)&lt;=0.000001,"通过","失败")</x:f>
        <x:v>通过</x:v>
      </x:c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</x:row>
    <x:row r="29" ht="34" customHeight="1">
      <x:c r="A29" s="44" t="str">
        <x:v>测试ID</x:v>
      </x:c>
      <x:c r="B29" s="45" t="str">
        <x:v>场景</x:v>
      </x:c>
      <x:c r="C29" s="45" t="str">
        <x:v>测试输入</x:v>
      </x:c>
      <x:c r="D29" s="45" t="str">
        <x:v>规则结果</x:v>
      </x:c>
      <x:c r="E29" s="45" t="str">
        <x:v>期望</x:v>
      </x:c>
      <x:c r="F29" s="46" t="str">
        <x:v>状态</x:v>
      </x:c>
      <x:c r="G29" s="53"/>
      <x:c r="H29" s="53"/>
      <x:c r="I29" s="53"/>
      <x:c r="J29" s="53"/>
      <x:c r="K29" s="53"/>
      <x:c r="L29" s="53"/>
      <x:c r="M29" s="53"/>
      <x:c r="N29" s="53"/>
    </x:row>
    <x:row r="30">
      <x:c r="A30" s="53" t="str">
        <x:v>UT_NON_ADDITIVE</x:v>
      </x:c>
      <x:c r="B30" s="53" t="str">
        <x:v>非加总镜像</x:v>
      </x:c>
      <x:c r="C30" s="53" t="str">
        <x:v>金额100；is_additive=否</x:v>
      </x:c>
      <x:c r="D30" s="53" t="n">
        <x:f>IF("否"="是",100,0)</x:f>
        <x:v>0</x:v>
      </x:c>
      <x:c r="E30" s="53" t="n">
        <x:v>0</x:v>
      </x:c>
      <x:c r="F30" s="53" t="str">
        <x:f>IF(D30=E30,"通过","失败")</x:f>
        <x:v>通过</x:v>
      </x:c>
      <x:c r="G30" s="53"/>
      <x:c r="H30" s="53"/>
      <x:c r="I30" s="53"/>
      <x:c r="J30" s="53"/>
      <x:c r="K30" s="53"/>
      <x:c r="L30" s="53"/>
      <x:c r="M30" s="53"/>
      <x:c r="N30" s="53"/>
    </x:row>
    <x:row r="31">
      <x:c r="A31" s="53" t="str">
        <x:v>UT_ZERO_SHIP</x:v>
      </x:c>
      <x:c r="B31" s="53" t="str">
        <x:v>0出库</x:v>
      </x:c>
      <x:c r="C31" s="53" t="n">
        <x:v>0</x:v>
      </x:c>
      <x:c r="D31" s="53" t="str">
        <x:f>IF(C31=0,"排除经营事实","保留")</x:f>
        <x:v>排除经营事实</x:v>
      </x:c>
      <x:c r="E31" s="53" t="str">
        <x:v>排除经营事实</x:v>
      </x:c>
      <x:c r="F31" s="53" t="str">
        <x:f>IF(D31=E31,"通过","失败")</x:f>
        <x:v>通过</x:v>
      </x:c>
      <x:c r="G31" s="53"/>
      <x:c r="H31" s="53"/>
      <x:c r="I31" s="53"/>
      <x:c r="J31" s="53"/>
      <x:c r="K31" s="53"/>
      <x:c r="L31" s="53"/>
      <x:c r="M31" s="53"/>
      <x:c r="N31" s="53"/>
    </x:row>
    <x:row r="32">
      <x:c r="A32" s="53" t="str">
        <x:v>UT_NEG_SHIP</x:v>
      </x:c>
      <x:c r="B32" s="53" t="str">
        <x:v>负出库</x:v>
      </x:c>
      <x:c r="C32" s="53" t="n">
        <x:v>-1</x:v>
      </x:c>
      <x:c r="D32" s="53" t="str">
        <x:f>IF(C32&lt;0,"保留并告警","正常")</x:f>
        <x:v>保留并告警</x:v>
      </x:c>
      <x:c r="E32" s="53" t="str">
        <x:v>保留并告警</x:v>
      </x:c>
      <x:c r="F32" s="53" t="str">
        <x:f>IF(D32=E32,"通过","失败")</x:f>
        <x:v>通过</x:v>
      </x:c>
      <x:c r="G32" s="53"/>
      <x:c r="H32" s="53"/>
      <x:c r="I32" s="53"/>
      <x:c r="J32" s="53"/>
      <x:c r="K32" s="53"/>
      <x:c r="L32" s="53"/>
      <x:c r="M32" s="53"/>
      <x:c r="N32" s="53"/>
    </x:row>
    <x:row r="33">
      <x:c r="A33" s="53" t="str">
        <x:v>UT_SKU_TEXT</x:v>
      </x:c>
      <x:c r="B33" s="53" t="str">
        <x:v>超长/前导零SKU</x:v>
      </x:c>
      <x:c r="C33" s="48" t="str">
        <x:f>"000123456789012345｜文本"</x:f>
        <x:v>000123456789012345｜文本</x:v>
      </x:c>
      <x:c r="D33" s="53" t="str">
        <x:f>IF(ISTEXT(C33),"文本","非文本")</x:f>
        <x:v>文本</x:v>
      </x:c>
      <x:c r="E33" s="53" t="str">
        <x:v>文本</x:v>
      </x:c>
      <x:c r="F33" s="53" t="str">
        <x:f>IF(D33=E33,"通过","失败")</x:f>
        <x:v>通过</x:v>
      </x:c>
      <x:c r="G33" s="53"/>
      <x:c r="H33" s="53"/>
      <x:c r="I33" s="53"/>
      <x:c r="J33" s="53"/>
      <x:c r="K33" s="53"/>
      <x:c r="L33" s="53"/>
      <x:c r="M33" s="53"/>
      <x:c r="N33" s="53"/>
    </x:row>
    <x:row r="34">
      <x:c r="A34" s="53" t="str">
        <x:v>UT_DATE</x:v>
      </x:c>
      <x:c r="B34" s="53" t="str">
        <x:v>标准日期</x:v>
      </x:c>
      <x:c r="C34" s="51" t="n">
        <x:v>46204</x:v>
      </x:c>
      <x:c r="D34" s="53" t="str">
        <x:f>IF(ISNUMBER(C34),"标准日期","非标准日期")</x:f>
        <x:v>标准日期</x:v>
      </x:c>
      <x:c r="E34" s="53" t="str">
        <x:v>标准日期</x:v>
      </x:c>
      <x:c r="F34" s="53" t="str">
        <x:f>IF(D34=E34,"通过","失败")</x:f>
        <x:v>通过</x:v>
      </x:c>
      <x:c r="G34" s="53"/>
      <x:c r="H34" s="53"/>
      <x:c r="I34" s="53"/>
      <x:c r="J34" s="53"/>
      <x:c r="K34" s="53"/>
      <x:c r="L34" s="53"/>
      <x:c r="M34" s="53"/>
      <x:c r="N34" s="53"/>
    </x:row>
    <x:row r="35">
      <x:c r="A35" s="53" t="str">
        <x:v>UT_REAL_REVENUE</x:v>
      </x:c>
      <x:c r="B35" s="53" t="str">
        <x:v>真实营业额</x:v>
      </x:c>
      <x:c r="C35" s="53" t="str">
        <x:v>GMV1200；补单50</x:v>
      </x:c>
      <x:c r="D35" s="53" t="n">
        <x:f>1200-50</x:f>
        <x:v>1150</x:v>
      </x:c>
      <x:c r="E35" s="53" t="n">
        <x:v>1150</x:v>
      </x:c>
      <x:c r="F35" s="53" t="str">
        <x:f>IF(D35=E35,"通过","失败")</x:f>
        <x:v>通过</x:v>
      </x:c>
      <x:c r="G35" s="53"/>
      <x:c r="H35" s="53"/>
      <x:c r="I35" s="53"/>
      <x:c r="J35" s="53"/>
      <x:c r="K35" s="53"/>
      <x:c r="L35" s="53"/>
      <x:c r="M35" s="53"/>
      <x:c r="N35" s="53"/>
    </x:row>
  </x:sheetData>
  <x:mergeCells>
    <x:mergeCell ref="A1:N1"/>
    <x:mergeCell ref="A2:N2"/>
    <x:mergeCell ref="A4:N4"/>
    <x:mergeCell ref="A23:N23"/>
  </x:mergeCells>
  <x:conditionalFormatting sqref="A11:A21">
    <x:cfRule type="containsText" dxfId="20" priority="1" operator="containsText" text="通过"/>
    <x:cfRule type="containsText" dxfId="21" priority="2" operator="containsText" text="待"/>
    <x:cfRule type="containsText" dxfId="22" priority="3" operator="containsText" text="阻塞"/>
    <x:cfRule type="containsText" dxfId="23" priority="4" operator="containsText" text="失败"/>
    <x:cfRule type="containsText" dxfId="24" priority="5" operator="containsText" text="告警"/>
  </x:conditionalFormatting>
  <x:conditionalFormatting sqref="N25:N26">
    <x:cfRule type="containsText" dxfId="25" priority="6" operator="containsText" text="通过"/>
    <x:cfRule type="containsText" dxfId="26" priority="7" operator="containsText" text="待"/>
    <x:cfRule type="containsText" dxfId="27" priority="8" operator="containsText" text="阻塞"/>
    <x:cfRule type="containsText" dxfId="28" priority="9" operator="containsText" text="失败"/>
    <x:cfRule type="containsText" dxfId="29" priority="10" operator="containsText" text="告警"/>
  </x:conditionalFormatting>
  <x:conditionalFormatting sqref="F30:F35">
    <x:cfRule type="containsText" dxfId="30" priority="11" operator="containsText" text="通过"/>
    <x:cfRule type="containsText" dxfId="31" priority="12" operator="containsText" text="待"/>
    <x:cfRule type="containsText" dxfId="32" priority="13" operator="containsText" text="阻塞"/>
    <x:cfRule type="containsText" dxfId="33" priority="14" operator="containsText" text="失败"/>
    <x:cfRule type="containsText" dxfId="34" priority="15" operator="containsText" text="告警"/>
  </x:conditionalFormatting>
  <x:pageMargins left="0.7" right="0.7" top="0.75" bottom="0.75" header="0.3" footer="0.3"/>
  <x:tableParts count="1">
    <x:tablePart xmlns:r="http://schemas.openxmlformats.org/officeDocument/2006/relationships" r:id="R41f01113e86542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22" hidden="0" customWidth="1"/>
    <x:col min="4" max="4" width="14" hidden="0" customWidth="1"/>
    <x:col min="5" max="5" width="24" hidden="0" customWidth="1"/>
    <x:col min="6" max="6" width="44" hidden="0" customWidth="1"/>
  </x:cols>
  <x:sheetData>
    <x:row r="1" ht="42" customHeight="1">
      <x:c r="A1" s="4" t="str">
        <x:v>Checks｜模板发布门槛</x:v>
      </x:c>
      <x:c r="B1" s="4"/>
      <x:c r="C1" s="4"/>
      <x:c r="D1" s="4"/>
      <x:c r="E1" s="4"/>
      <x:c r="F1" s="4"/>
    </x:row>
    <x:row r="2" ht="34" customHeight="1">
      <x:c r="A2" s="8" t="str">
        <x:v>模板状态只检查结构、公式与边界测试；业务数据状态需在每次导入后重新执行。</x:v>
      </x:c>
      <x:c r="B2" s="8"/>
      <x:c r="C2" s="8"/>
      <x:c r="D2" s="8"/>
      <x:c r="E2" s="8"/>
      <x:c r="F2" s="8"/>
    </x:row>
    <x:row r="3">
      <x:c r="A3" s="53"/>
      <x:c r="B3" s="53"/>
      <x:c r="C3" s="53"/>
      <x:c r="D3" s="53"/>
      <x:c r="E3" s="53"/>
      <x:c r="F3" s="53"/>
    </x:row>
    <x:row r="4">
      <x:c r="A4" s="78" t="str">
        <x:v>模板状态</x:v>
      </x:c>
      <x:c r="B4" s="53" t="str">
        <x:f>IF(COUNTIF($D$10:$D$18,"失败")=0,"通过","失败")</x:f>
        <x:v>通过</x:v>
      </x:c>
      <x:c r="C4" s="53"/>
      <x:c r="D4" s="53"/>
      <x:c r="E4" s="53"/>
      <x:c r="F4" s="53"/>
    </x:row>
    <x:row r="5">
      <x:c r="A5" s="78" t="str">
        <x:v>业务数据状态</x:v>
      </x:c>
      <x:c r="B5" s="53" t="str">
        <x:v>待导入</x:v>
      </x:c>
      <x:c r="C5" s="53"/>
      <x:c r="D5" s="53"/>
      <x:c r="E5" s="53"/>
      <x:c r="F5" s="53"/>
    </x:row>
    <x:row r="6">
      <x:c r="A6" s="78" t="str">
        <x:v>发布结论</x:v>
      </x:c>
      <x:c r="B6" s="53" t="str">
        <x:f>IF(B4="通过","模板可发布；导入业务数据后执行数据级Checks","修复模板后发布")</x:f>
        <x:v>模板可发布；导入业务数据后执行数据级Checks</x:v>
      </x:c>
      <x:c r="C6" s="53"/>
      <x:c r="D6" s="53"/>
      <x:c r="E6" s="53"/>
      <x:c r="F6" s="53"/>
    </x:row>
    <x:row r="7">
      <x:c r="A7" s="53"/>
      <x:c r="B7" s="53"/>
      <x:c r="C7" s="53"/>
      <x:c r="D7" s="53"/>
      <x:c r="E7" s="53"/>
      <x:c r="F7" s="53"/>
    </x:row>
    <x:row r="8">
      <x:c r="A8" s="53"/>
      <x:c r="B8" s="53"/>
      <x:c r="C8" s="53"/>
      <x:c r="D8" s="53"/>
      <x:c r="E8" s="53"/>
      <x:c r="F8" s="53"/>
    </x:row>
    <x:row r="9" ht="34" customHeight="1">
      <x:c r="A9" s="44" t="str">
        <x:v>检查</x:v>
      </x:c>
      <x:c r="B9" s="45" t="str">
        <x:v>级别</x:v>
      </x:c>
      <x:c r="C9" s="45" t="str">
        <x:v>结果</x:v>
      </x:c>
      <x:c r="D9" s="45" t="str">
        <x:v>状态</x:v>
      </x:c>
      <x:c r="E9" s="45" t="str">
        <x:v>修复位置</x:v>
      </x:c>
      <x:c r="F9" s="46" t="str">
        <x:v>说明</x:v>
      </x:c>
    </x:row>
    <x:row r="10">
      <x:c r="A10" s="53" t="str">
        <x:v>完整利润公式单元测试</x:v>
      </x:c>
      <x:c r="B10" s="53" t="str">
        <x:v>阻塞</x:v>
      </x:c>
      <x:c r="C10" s="53" t="n">
        <x:f>'规则与验收'!M25</x:f>
        <x:v>592</x:v>
      </x:c>
      <x:c r="D10" s="53" t="str">
        <x:f>'规则与验收'!N25</x:f>
        <x:v>通过</x:v>
      </x:c>
      <x:c r="E10" s="53" t="str">
        <x:v>规则与验收</x:v>
      </x:c>
      <x:c r="F10" s="53" t="str">
        <x:v>期望592</x:v>
      </x:c>
    </x:row>
    <x:row r="11">
      <x:c r="A11" s="53" t="str">
        <x:v>推广孤儿负利润</x:v>
      </x:c>
      <x:c r="B11" s="53" t="str">
        <x:v>阻塞</x:v>
      </x:c>
      <x:c r="C11" s="53" t="n">
        <x:f>'规则与验收'!M26</x:f>
        <x:v>-100</x:v>
      </x:c>
      <x:c r="D11" s="53" t="str">
        <x:f>'规则与验收'!N26</x:f>
        <x:v>通过</x:v>
      </x:c>
      <x:c r="E11" s="53" t="str">
        <x:v>费用事实接口</x:v>
      </x:c>
      <x:c r="F11" s="53" t="str">
        <x:v>期望-100</x:v>
      </x:c>
    </x:row>
    <x:row r="12">
      <x:c r="A12" s="53" t="str">
        <x:v>非加总镜像排除</x:v>
      </x:c>
      <x:c r="B12" s="53" t="str">
        <x:v>阻塞</x:v>
      </x:c>
      <x:c r="C12" s="53" t="n">
        <x:f>'规则与验收'!D30</x:f>
        <x:v>0</x:v>
      </x:c>
      <x:c r="D12" s="53" t="str">
        <x:f>'规则与验收'!F30</x:f>
        <x:v>通过</x:v>
      </x:c>
      <x:c r="E12" s="53" t="str">
        <x:v>费用事实接口</x:v>
      </x:c>
      <x:c r="F12" s="53" t="str">
        <x:v>期望计入0</x:v>
      </x:c>
    </x:row>
    <x:row r="13">
      <x:c r="A13" s="53" t="str">
        <x:v>0出库排除经营事实</x:v>
      </x:c>
      <x:c r="B13" s="53" t="str">
        <x:v>阻塞</x:v>
      </x:c>
      <x:c r="C13" s="53" t="str">
        <x:f>'规则与验收'!D31</x:f>
        <x:v>排除经营事实</x:v>
      </x:c>
      <x:c r="D13" s="53" t="str">
        <x:f>'规则与验收'!F31</x:f>
        <x:v>通过</x:v>
      </x:c>
      <x:c r="E13" s="53" t="str">
        <x:v>经营明细接口</x:v>
      </x:c>
      <x:c r="F13" s="53" t="str">
        <x:v>推广事实不随经营行删除</x:v>
      </x:c>
    </x:row>
    <x:row r="14">
      <x:c r="A14" s="53" t="str">
        <x:v>负出库保留告警</x:v>
      </x:c>
      <x:c r="B14" s="53" t="str">
        <x:v>阻塞</x:v>
      </x:c>
      <x:c r="C14" s="53" t="str">
        <x:f>'规则与验收'!D32</x:f>
        <x:v>保留并告警</x:v>
      </x:c>
      <x:c r="D14" s="53" t="str">
        <x:f>'规则与验收'!F32</x:f>
        <x:v>通过</x:v>
      </x:c>
      <x:c r="E14" s="53" t="str">
        <x:v>经营明细接口</x:v>
      </x:c>
      <x:c r="F14" s="53" t="str">
        <x:v>保留并告警</x:v>
      </x:c>
    </x:row>
    <x:row r="15">
      <x:c r="A15" s="53" t="str">
        <x:v>SKU/ID文本化</x:v>
      </x:c>
      <x:c r="B15" s="53" t="str">
        <x:v>阻塞</x:v>
      </x:c>
      <x:c r="C15" s="53" t="str">
        <x:f>'规则与验收'!D33</x:f>
        <x:v>文本</x:v>
      </x:c>
      <x:c r="D15" s="53" t="str">
        <x:f>'规则与验收'!F33</x:f>
        <x:v>通过</x:v>
      </x:c>
      <x:c r="E15" s="53" t="str">
        <x:v>所有接口</x:v>
      </x:c>
      <x:c r="F15" s="53" t="str">
        <x:v>前导零不丢失</x:v>
      </x:c>
    </x:row>
    <x:row r="16">
      <x:c r="A16" s="53" t="str">
        <x:v>日期为标准日期</x:v>
      </x:c>
      <x:c r="B16" s="53" t="str">
        <x:v>阻塞</x:v>
      </x:c>
      <x:c r="C16" s="53" t="str">
        <x:f>'规则与验收'!D34</x:f>
        <x:v>标准日期</x:v>
      </x:c>
      <x:c r="D16" s="53" t="str">
        <x:f>'规则与验收'!F34</x:f>
        <x:v>通过</x:v>
      </x:c>
      <x:c r="E16" s="53" t="str">
        <x:v>所有接口</x:v>
      </x:c>
      <x:c r="F16" s="53" t="str">
        <x:v>不是显示用文本</x:v>
      </x:c>
    </x:row>
    <x:row r="17">
      <x:c r="A17" s="53" t="str">
        <x:v>真实营业额公式</x:v>
      </x:c>
      <x:c r="B17" s="53" t="str">
        <x:v>阻塞</x:v>
      </x:c>
      <x:c r="C17" s="53" t="n">
        <x:f>'规则与验收'!D35</x:f>
        <x:v>1150</x:v>
      </x:c>
      <x:c r="D17" s="53" t="str">
        <x:f>'规则与验收'!F35</x:f>
        <x:v>通过</x:v>
      </x:c>
      <x:c r="E17" s="53" t="str">
        <x:v>前台利润标准表</x:v>
      </x:c>
      <x:c r="F17" s="53" t="str">
        <x:v>GMV-补单金额</x:v>
      </x:c>
    </x:row>
    <x:row r="18">
      <x:c r="A18" s="53" t="str">
        <x:v>导出前公式错误扫描</x:v>
      </x:c>
      <x:c r="B18" s="53" t="str">
        <x:v>阻塞</x:v>
      </x:c>
      <x:c r="C18" s="53" t="n">
        <x:v>0</x:v>
      </x:c>
      <x:c r="D18" s="53" t="str">
        <x:v>通过</x:v>
      </x:c>
      <x:c r="E18" s="53" t="str">
        <x:v>生成验收</x:v>
      </x:c>
      <x:c r="F18" s="53" t="str">
        <x:v>最终仍以外部扫描为准</x:v>
      </x:c>
    </x:row>
    <x:row r="19">
      <x:c r="A19" s="53"/>
      <x:c r="B19" s="53"/>
      <x:c r="C19" s="53"/>
      <x:c r="D19" s="53"/>
      <x:c r="E19" s="53"/>
      <x:c r="F19" s="53"/>
    </x:row>
    <x:row r="20" ht="42" customHeight="1">
      <x:c r="A20" s="76" t="str">
        <x:v>业务数据通过标准：阻塞记录=0；未解析映射=0；重复ID=0；各可加总费用源与结果差额≤0.01；推广孤儿100%保留；非加总镜像计入额=0；公式错误=0。</x:v>
      </x:c>
      <x:c r="B20" s="76"/>
      <x:c r="C20" s="76"/>
      <x:c r="D20" s="76"/>
      <x:c r="E20" s="76"/>
      <x:c r="F20" s="76"/>
    </x:row>
  </x:sheetData>
  <x:mergeCells>
    <x:mergeCell ref="A1:F1"/>
    <x:mergeCell ref="A2:F2"/>
    <x:mergeCell ref="A20:F20"/>
  </x:mergeCells>
  <x:conditionalFormatting sqref="B4:B6">
    <x:cfRule type="containsText" dxfId="35" priority="1" operator="containsText" text="通过"/>
    <x:cfRule type="containsText" dxfId="36" priority="2" operator="containsText" text="待"/>
    <x:cfRule type="containsText" dxfId="37" priority="3" operator="containsText" text="阻塞"/>
    <x:cfRule type="containsText" dxfId="38" priority="4" operator="containsText" text="失败"/>
    <x:cfRule type="containsText" dxfId="39" priority="5" operator="containsText" text="告警"/>
  </x:conditionalFormatting>
  <x:conditionalFormatting sqref="D10:D18">
    <x:cfRule type="containsText" dxfId="40" priority="6" operator="containsText" text="通过"/>
    <x:cfRule type="containsText" dxfId="41" priority="7" operator="containsText" text="待"/>
    <x:cfRule type="containsText" dxfId="42" priority="8" operator="containsText" text="阻塞"/>
    <x:cfRule type="containsText" dxfId="43" priority="9" operator="containsText" text="失败"/>
    <x:cfRule type="containsText" dxfId="44" priority="10" operator="containsText" text="告警"/>
  </x:conditionalFormatting>
  <x:pageMargins left="0.7" right="0.7" top="0.75" bottom="0.75" header="0.3" footer="0.3"/>
</x:worksheet>
</file>